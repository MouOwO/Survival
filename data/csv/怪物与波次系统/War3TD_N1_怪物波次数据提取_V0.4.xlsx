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怪物数据明细" sheetId="1" r:id="rId1"/>
    <sheet name="波次汇总" sheetId="2" r:id="rId2"/>
    <sheet name="提取说明" sheetId="3" r:id="rId3"/>
    <sheet name="录像时间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<sst xmlns="http://schemas.openxmlformats.org/spreadsheetml/2006/main" count="954" uniqueCount="486">
  <si>
    <t>War3 TD N1难度：怪物波次属性提取</t>
  </si>
  <si>
    <t>当前已处理：第1—25波。第6—10波为用户补充数据，尚待原录像复核；第25波来自N1 25(2).mp4，已完成最终Boss波提取。</t>
  </si>
  <si>
    <t>难度</t>
  </si>
  <si>
    <t>波次</t>
  </si>
  <si>
    <t>怪物编号</t>
  </si>
  <si>
    <t>首领标记</t>
  </si>
  <si>
    <t>面板等级</t>
  </si>
  <si>
    <t>生命值</t>
  </si>
  <si>
    <t>攻击力</t>
  </si>
  <si>
    <t>护甲</t>
  </si>
  <si>
    <t>数量</t>
  </si>
  <si>
    <t>该类型总生命</t>
  </si>
  <si>
    <t>模型/类型描述</t>
  </si>
  <si>
    <t>面板名称</t>
  </si>
  <si>
    <t>属性取样时间</t>
  </si>
  <si>
    <t>数量取样时间</t>
  </si>
  <si>
    <t>来源录像</t>
  </si>
  <si>
    <t>数据状态</t>
  </si>
  <si>
    <t>备注</t>
  </si>
  <si>
    <t>N1</t>
  </si>
  <si>
    <t>1A</t>
  </si>
  <si>
    <t>否</t>
  </si>
  <si>
    <t>LV1</t>
  </si>
  <si>
    <t>白发人形近战怪</t>
  </si>
  <si>
    <t>00:10</t>
  </si>
  <si>
    <t>00:20</t>
  </si>
  <si>
    <t>N1 1-6.mp4</t>
  </si>
  <si>
    <t>录像确认</t>
  </si>
  <si>
    <t>单一怪物类型；峰值怪物数6</t>
  </si>
  <si>
    <t>2A</t>
  </si>
  <si>
    <t>LV2</t>
  </si>
  <si>
    <t>红巾人形斧兵</t>
  </si>
  <si>
    <t>01:40</t>
  </si>
  <si>
    <t>01:50</t>
  </si>
  <si>
    <t>3A</t>
  </si>
  <si>
    <t>LV3</t>
  </si>
  <si>
    <t>骷髅面部亡灵近战怪</t>
  </si>
  <si>
    <t>03:10</t>
  </si>
  <si>
    <t>03:20</t>
  </si>
  <si>
    <t>单一怪物类型；峰值怪物数5</t>
  </si>
  <si>
    <t>4A</t>
  </si>
  <si>
    <t>LV4</t>
  </si>
  <si>
    <t>大型兽人/巨型近战怪</t>
  </si>
  <si>
    <t>04:40</t>
  </si>
  <si>
    <t>04:50</t>
  </si>
  <si>
    <t>混合波A；录像开波时可见1只大型怪</t>
  </si>
  <si>
    <t>4B</t>
  </si>
  <si>
    <t>小型兽人斧兵</t>
  </si>
  <si>
    <t>混合波B；总峰值7，推定分配1A+6B</t>
  </si>
  <si>
    <t>5A</t>
  </si>
  <si>
    <t>LV5</t>
  </si>
  <si>
    <t>紫红色恶魔近战怪</t>
  </si>
  <si>
    <t>06:20</t>
  </si>
  <si>
    <t>首领波普通怪；总峰值7，分配6普通+1首领</t>
  </si>
  <si>
    <t>5B</t>
  </si>
  <si>
    <t>是</t>
  </si>
  <si>
    <t>等级1</t>
  </si>
  <si>
    <t>恐惧魔王模型首领</t>
  </si>
  <si>
    <t>首领 / 首领01</t>
  </si>
  <si>
    <t>06:10</t>
  </si>
  <si>
    <t>系统提示：进攻BOSS来袭；力量/敏捷/智力面板均为1</t>
  </si>
  <si>
    <t>6A</t>
  </si>
  <si>
    <t>用户补充数据（第6—10波）</t>
  </si>
  <si>
    <t>用户补充；录像待复核</t>
  </si>
  <si>
    <t>用户直接提供数值；属性与数量取样时间待补</t>
  </si>
  <si>
    <t>7A</t>
  </si>
  <si>
    <t>8A</t>
  </si>
  <si>
    <t>骷髅面部亡灵怪</t>
  </si>
  <si>
    <t>9A</t>
  </si>
  <si>
    <t>大型兽人怪</t>
  </si>
  <si>
    <t>混合波；用户提供分配1A+6B</t>
  </si>
  <si>
    <t>9B</t>
  </si>
  <si>
    <t>10A</t>
  </si>
  <si>
    <t>紫红色恶魔怪</t>
  </si>
  <si>
    <t>首领混合波；用户提供6只普通怪</t>
  </si>
  <si>
    <t>10B</t>
  </si>
  <si>
    <t>首领单独一行；面板等级和取样时间待补</t>
  </si>
  <si>
    <t>11A</t>
  </si>
  <si>
    <t>LV11</t>
  </si>
  <si>
    <t>大型绿色恶魔/兽类近战怪</t>
  </si>
  <si>
    <t>00:16</t>
  </si>
  <si>
    <t>00:21</t>
  </si>
  <si>
    <t>N1 11(2).mp4</t>
  </si>
  <si>
    <t>录像确认；数量确认</t>
  </si>
  <si>
    <t>峰值7；录像画面确认分配1A+3B+3C；未出现首领提示</t>
  </si>
  <si>
    <t>11B</t>
  </si>
  <si>
    <t>白骨亡灵近战怪</t>
  </si>
  <si>
    <t>00:18</t>
  </si>
  <si>
    <t>峰值7；与11C为不同模型和攻击力</t>
  </si>
  <si>
    <t>11C</t>
  </si>
  <si>
    <t>红翼飞行恶魔/石像鬼类怪</t>
  </si>
  <si>
    <t>峰值7；画面可见3只红翼飞行怪</t>
  </si>
  <si>
    <t>12A</t>
  </si>
  <si>
    <t>LV12</t>
  </si>
  <si>
    <t>大型红翼飞龙</t>
  </si>
  <si>
    <t>00:12</t>
  </si>
  <si>
    <t>N1 12-17(3).mp4</t>
  </si>
  <si>
    <t>峰值7；大/小型同头像，分配1A+6B</t>
  </si>
  <si>
    <t>12B</t>
  </si>
  <si>
    <t>小型红翼飞龙</t>
  </si>
  <si>
    <t>00:15</t>
  </si>
  <si>
    <t>峰值7；与12A同头像但模型尺寸和属性不同</t>
  </si>
  <si>
    <t>13A</t>
  </si>
  <si>
    <t>LV13</t>
  </si>
  <si>
    <t>大型棕色獠牙兽人近战怪</t>
  </si>
  <si>
    <t>01:42</t>
  </si>
  <si>
    <t>01:55</t>
  </si>
  <si>
    <t>录像确认；高置信推定</t>
  </si>
  <si>
    <t>总数7；画面高置信分配1A+2B+4C</t>
  </si>
  <si>
    <t>13B</t>
  </si>
  <si>
    <t>小型棕色獠牙兽人近战怪</t>
  </si>
  <si>
    <t>01:44</t>
  </si>
  <si>
    <t>与13A同类模型但尺寸和属性不同</t>
  </si>
  <si>
    <t>13C</t>
  </si>
  <si>
    <t>红翼飞行怪（绿色兽头头像）</t>
  </si>
  <si>
    <t>01:46</t>
  </si>
  <si>
    <t>总数7；画面高置信确认4只飞行怪</t>
  </si>
  <si>
    <t>14A</t>
  </si>
  <si>
    <t>LV14</t>
  </si>
  <si>
    <t>大型紫色骨翼飞龙</t>
  </si>
  <si>
    <t>03:12</t>
  </si>
  <si>
    <t>14B</t>
  </si>
  <si>
    <t>小型紫色骨翼飞龙</t>
  </si>
  <si>
    <t>03:14</t>
  </si>
  <si>
    <t>峰值7；与14A同头像但模型尺寸和属性不同</t>
  </si>
  <si>
    <t>15A</t>
  </si>
  <si>
    <t>LV15</t>
  </si>
  <si>
    <t>白发矮人枪兵</t>
  </si>
  <si>
    <t>05:00</t>
  </si>
  <si>
    <t>单一类型；峰值7；开波前选中的“首领03”为玩家单位，不计入怪物</t>
  </si>
  <si>
    <t>16A</t>
  </si>
  <si>
    <t>LV16</t>
  </si>
  <si>
    <t>大型长鼻兽人近战怪</t>
  </si>
  <si>
    <t>06:12</t>
  </si>
  <si>
    <t>06:25</t>
  </si>
  <si>
    <t>总数7；画面高置信分配1A+4B+2C</t>
  </si>
  <si>
    <t>16B</t>
  </si>
  <si>
    <t>小型长鼻兽人近战怪</t>
  </si>
  <si>
    <t>06:15</t>
  </si>
  <si>
    <t>与16A同类模型但尺寸和属性不同</t>
  </si>
  <si>
    <t>16C</t>
  </si>
  <si>
    <t>红色飞毯骑兵/法师</t>
  </si>
  <si>
    <t>06:16</t>
  </si>
  <si>
    <t>画面可见2只红色飞毯单位</t>
  </si>
  <si>
    <t>17A</t>
  </si>
  <si>
    <t>LV17</t>
  </si>
  <si>
    <t>大型红色飞毯骑兵</t>
  </si>
  <si>
    <t>07:43</t>
  </si>
  <si>
    <t>07:50</t>
  </si>
  <si>
    <t>峰值7；大/小型同头像，分配1A+6B；下一段未重复第17波</t>
  </si>
  <si>
    <t>17B</t>
  </si>
  <si>
    <t>小型红色飞毯骑兵</t>
  </si>
  <si>
    <t>07:45</t>
  </si>
  <si>
    <t>本录像约08:45清空；下一段N1 17-24(2).mp4从第18波倒计时开始，无第17波重复写入</t>
  </si>
  <si>
    <t>18A</t>
  </si>
  <si>
    <t>LV18</t>
  </si>
  <si>
    <t>大型红袍持盾亡灵法师</t>
  </si>
  <si>
    <t>00:22</t>
  </si>
  <si>
    <t>00:29</t>
  </si>
  <si>
    <t>N1 17-24(2).mp4</t>
  </si>
  <si>
    <t>峰值9；按连续出怪顺序高置信分配1A+4B+4C</t>
  </si>
  <si>
    <t>18B</t>
  </si>
  <si>
    <t>小型红袍持盾亡灵法师</t>
  </si>
  <si>
    <t>00:24</t>
  </si>
  <si>
    <t>与18C属性相同但模型不同，单独编号</t>
  </si>
  <si>
    <t>18C</t>
  </si>
  <si>
    <t>小型灰色岩石傀儡</t>
  </si>
  <si>
    <t>00:25</t>
  </si>
  <si>
    <t>总数9确认；小型两类各4为多帧出怪顺序判定</t>
  </si>
  <si>
    <t>19A</t>
  </si>
  <si>
    <t>LV19</t>
  </si>
  <si>
    <t>大型灰白岩石傀儡</t>
  </si>
  <si>
    <t>01:52</t>
  </si>
  <si>
    <t>02:00</t>
  </si>
  <si>
    <t>峰值10；分配1A+9B</t>
  </si>
  <si>
    <t>19B</t>
  </si>
  <si>
    <t>小型灰白岩石傀儡</t>
  </si>
  <si>
    <t>01:58</t>
  </si>
  <si>
    <t>大/小型同类模型但尺寸和属性不同</t>
  </si>
  <si>
    <t>20A</t>
  </si>
  <si>
    <t>LV20</t>
  </si>
  <si>
    <t>红色条纹野兽近战怪</t>
  </si>
  <si>
    <t>03:38</t>
  </si>
  <si>
    <t>03:33</t>
  </si>
  <si>
    <t>Boss约03:32被击杀后计数器达到13，确认普通怪13只</t>
  </si>
  <si>
    <t>20B</t>
  </si>
  <si>
    <t>黑红色翼魔持剑首领</t>
  </si>
  <si>
    <t>首领 / 首领04</t>
  </si>
  <si>
    <t>03:30</t>
  </si>
  <si>
    <t>系统提示“进攻BOSS来袭”；面板生命上限显示100.001万</t>
  </si>
  <si>
    <t>21A</t>
  </si>
  <si>
    <t>LV21</t>
  </si>
  <si>
    <t>大型绿色海兽持三叉戟怪</t>
  </si>
  <si>
    <t>04:52</t>
  </si>
  <si>
    <t>峰值9；分配1A+8B</t>
  </si>
  <si>
    <t>21B</t>
  </si>
  <si>
    <t>小型绿色海兽持三叉戟怪</t>
  </si>
  <si>
    <t>04:55</t>
  </si>
  <si>
    <t>生命面板取最大值30.000万，不使用受伤后的当前值</t>
  </si>
  <si>
    <t>22A</t>
  </si>
  <si>
    <t>LV22</t>
  </si>
  <si>
    <t>大型灰黑重甲角兽人</t>
  </si>
  <si>
    <t>06:22</t>
  </si>
  <si>
    <t>06:32</t>
  </si>
  <si>
    <t>峰值11；分配1A+10B</t>
  </si>
  <si>
    <t>22B</t>
  </si>
  <si>
    <t>小型灰黑重甲角兽人</t>
  </si>
  <si>
    <t>06:28</t>
  </si>
  <si>
    <t>23A</t>
  </si>
  <si>
    <t>LV23</t>
  </si>
  <si>
    <t>大型黑紫红翼飞龙</t>
  </si>
  <si>
    <t>07:58</t>
  </si>
  <si>
    <t>08:02</t>
  </si>
  <si>
    <t>23B</t>
  </si>
  <si>
    <t>小型黑紫红翼飞龙</t>
  </si>
  <si>
    <t>生命面板取最大值50.000万</t>
  </si>
  <si>
    <t>24A</t>
  </si>
  <si>
    <t>LV24</t>
  </si>
  <si>
    <t>大型缝合屠夫怪</t>
  </si>
  <si>
    <t>09:22</t>
  </si>
  <si>
    <t>09:33</t>
  </si>
  <si>
    <t>峰值12；按连续出怪顺序高置信分配1A+4B+4C+3D</t>
  </si>
  <si>
    <t>24B</t>
  </si>
  <si>
    <t>小型缝合屠夫怪</t>
  </si>
  <si>
    <t>生命上限60.000万；类型数量由出怪顺序交叉判定</t>
  </si>
  <si>
    <t>24C</t>
  </si>
  <si>
    <t>红甲持剑人形近战怪</t>
  </si>
  <si>
    <t>09:30</t>
  </si>
  <si>
    <t>与24B生命相同但攻击、护甲和模型不同</t>
  </si>
  <si>
    <t>24D</t>
  </si>
  <si>
    <t>黑红骨翼飞行怪</t>
  </si>
  <si>
    <t>09:28</t>
  </si>
  <si>
    <t>生命上限70.000万；飞行模型数量高置信为3</t>
  </si>
  <si>
    <t>25A</t>
  </si>
  <si>
    <t>LV25</t>
  </si>
  <si>
    <t>绿色火焰岩石傀儡</t>
  </si>
  <si>
    <t>00:40</t>
  </si>
  <si>
    <t>N1 25(2).mp4</t>
  </si>
  <si>
    <t>计数器峰值23包含首领；首领移除后计数稳定为22，确认普通怪22只</t>
  </si>
  <si>
    <t>25B</t>
  </si>
  <si>
    <t>大型黑紫色翼魔持双刃首领</t>
  </si>
  <si>
    <t>首领 / 首领05</t>
  </si>
  <si>
    <t>00:17</t>
  </si>
  <si>
    <t>生命面板显示600.001万；系统提示“进攻BOSS来袭”；约00:38触发通关提示</t>
  </si>
  <si>
    <t>N1第1—25波构成与总量汇总</t>
  </si>
  <si>
    <t>怪物类型数</t>
  </si>
  <si>
    <t>普通怪数量</t>
  </si>
  <si>
    <t>首领数量</t>
  </si>
  <si>
    <t>总怪物数量</t>
  </si>
  <si>
    <t>波次总生命</t>
  </si>
  <si>
    <t>最高单体生命</t>
  </si>
  <si>
    <t>最高攻击力</t>
  </si>
  <si>
    <t>最高护甲</t>
  </si>
  <si>
    <t>类型分配</t>
  </si>
  <si>
    <t>波次性质</t>
  </si>
  <si>
    <t>1A×6</t>
  </si>
  <si>
    <t>普通单一波</t>
  </si>
  <si>
    <t>原表数据，未在本轮复核</t>
  </si>
  <si>
    <t>2A×6</t>
  </si>
  <si>
    <t>3A×5</t>
  </si>
  <si>
    <t>4A×1 + 4B×6</t>
  </si>
  <si>
    <t>普通混合波</t>
  </si>
  <si>
    <t>5A×6 + 首领5B×1</t>
  </si>
  <si>
    <t>首领混合波</t>
  </si>
  <si>
    <t>6A×6</t>
  </si>
  <si>
    <t>本轮由用户直接提供；未回看原录像，面板等级和取样时间待补</t>
  </si>
  <si>
    <t>7A×6</t>
  </si>
  <si>
    <t>8A×5</t>
  </si>
  <si>
    <t>9A×1 + 9B×6</t>
  </si>
  <si>
    <t>10A×6 + 首领10B×1</t>
  </si>
  <si>
    <t>11A×1 + 11B×3 + 11C×3</t>
  </si>
  <si>
    <t>第11波单独录像</t>
  </si>
  <si>
    <t>12A×1 + 12B×6</t>
  </si>
  <si>
    <t/>
  </si>
  <si>
    <t>13A×1 + 13B×2 + 13C×4</t>
  </si>
  <si>
    <t>类型分配为高置信推定</t>
  </si>
  <si>
    <t>14A×1 + 14B×6</t>
  </si>
  <si>
    <t>15A×7</t>
  </si>
  <si>
    <t>16A×1 + 16B×4 + 16C×2</t>
  </si>
  <si>
    <t>17A×1 + 17B×6</t>
  </si>
  <si>
    <t>第17波与下一段无重复</t>
  </si>
  <si>
    <t>18A×1 + 18B×4 + 18C×4</t>
  </si>
  <si>
    <t>类型分配1+4+4为高置信推定</t>
  </si>
  <si>
    <t>19A×1 + 19B×9</t>
  </si>
  <si>
    <t>峰值10；1大型+9小型</t>
  </si>
  <si>
    <t>20A×13 + 首领20B×1</t>
  </si>
  <si>
    <t>Boss约03:32击杀；其后计数器峰值13确认普通怪数量，波次合计14</t>
  </si>
  <si>
    <t>21A×1 + 21B×8</t>
  </si>
  <si>
    <t>峰值9；1大型+8小型</t>
  </si>
  <si>
    <t>22A×1 + 22B×10</t>
  </si>
  <si>
    <t>峰值11；1大型+10小型</t>
  </si>
  <si>
    <t>23A×1 + 23B×9</t>
  </si>
  <si>
    <t>24A×1 + 24B×4 + 24C×4 + 24D×3</t>
  </si>
  <si>
    <t>录像结尾仍在战斗；类型分配1+4+4+3为高置信推定</t>
  </si>
  <si>
    <t>25A×22 + 首领25B×1</t>
  </si>
  <si>
    <t>最终Boss波</t>
  </si>
  <si>
    <t>峰值23包含首领；首领实体移除后计数为22，确认普通怪22只；约00:55计数归零</t>
  </si>
  <si>
    <t>提取口径、证据状态与追加说明</t>
  </si>
  <si>
    <t>项目</t>
  </si>
  <si>
    <t>采用规则</t>
  </si>
  <si>
    <t>状态</t>
  </si>
  <si>
    <t>说明</t>
  </si>
  <si>
    <t>波次区间</t>
  </si>
  <si>
    <t>按画面系统提示“第X波怪物开始进攻”确定</t>
  </si>
  <si>
    <t>已采用</t>
  </si>
  <si>
    <t>文件名N1 1-6并不代表第6波已经进入；本片段只进入第1—5波</t>
  </si>
  <si>
    <t>同一波单一类型用A；混合波依次A/B/C</t>
  </si>
  <si>
    <t>首领也分配独立编号，并在首领标记列注明</t>
  </si>
  <si>
    <t>读取满血上限，不使用受伤后的当前值</t>
  </si>
  <si>
    <t>第5波普通怪画面为1998/2000，因此记录上限2000</t>
  </si>
  <si>
    <t>以本波录像中怪物上限计数的峰值为准</t>
  </si>
  <si>
    <t>波4和波5峰值均为7</t>
  </si>
  <si>
    <t>波4分配</t>
  </si>
  <si>
    <t>1只大型怪+6只小型怪</t>
  </si>
  <si>
    <t>高置信</t>
  </si>
  <si>
    <t>开波画面先出现1A+2B，峰值7；结合模型数量推定最终1A+6B</t>
  </si>
  <si>
    <t>波5分配</t>
  </si>
  <si>
    <t>1只首领+6只普通怪</t>
  </si>
  <si>
    <t>开波画面首领+2普通，峰值7，后续可见6只普通怪</t>
  </si>
  <si>
    <t>本轮已收到片段</t>
  </si>
  <si>
    <t>N1 11(2).mp4；N1 12-17(3).mp4</t>
  </si>
  <si>
    <t>已处理</t>
  </si>
  <si>
    <t>用户任务中称N1 11.mp4与N1 12-17(2).mp4；本版按实际上传文件名记录</t>
  </si>
  <si>
    <t>原表进度核对</t>
  </si>
  <si>
    <t>读取上传的V0.1实际内容</t>
  </si>
  <si>
    <t>已核对</t>
  </si>
  <si>
    <t>怪物数据明细实际仅有第1—5波，第6波仅倒计时；第7—10波没有明细，未擅自补录</t>
  </si>
  <si>
    <t>视频技术参数</t>
  </si>
  <si>
    <t>使用ffprobe读取</t>
  </si>
  <si>
    <t>已完成</t>
  </si>
  <si>
    <t>N1 11(2)：93秒、1280×720、25fps、H.264；N1 12-17(3)：529.836秒、1592×1196、约30fps、H.264</t>
  </si>
  <si>
    <t>攻击力字段</t>
  </si>
  <si>
    <t>沿用现有Excel单列“攻击力”</t>
  </si>
  <si>
    <t>本轮第11—17波面板均显示固定攻击数值，无攻击区间</t>
  </si>
  <si>
    <t>波11分配</t>
  </si>
  <si>
    <t>1只大型高生命怪+3只亡灵怪+3只红翼飞行怪</t>
  </si>
  <si>
    <t>峰值怪物数7；三种属性面板均直接读取</t>
  </si>
  <si>
    <t>波12分配</t>
  </si>
  <si>
    <t>1只大型飞龙+6只小型飞龙</t>
  </si>
  <si>
    <t>峰值怪物数7；同头像但尺寸和属性不同，按A/B拆分</t>
  </si>
  <si>
    <t>波13分配</t>
  </si>
  <si>
    <t>1只大型獠牙兽+2只小型獠牙兽+4只红翼飞行怪</t>
  </si>
  <si>
    <t>总数7；模型有重叠，以清晰展开画面拆分</t>
  </si>
  <si>
    <t>波14分配</t>
  </si>
  <si>
    <t>1只大型紫色骨翼飞龙+6只小型飞龙</t>
  </si>
  <si>
    <t>峰值怪物数7；同头像但尺寸和属性不同</t>
  </si>
  <si>
    <t>波15构成</t>
  </si>
  <si>
    <t>7只白发矮人枪兵</t>
  </si>
  <si>
    <t>开波前出现的“首领03”面板属于玩家单位，不是本波怪物或Boss</t>
  </si>
  <si>
    <t>波16分配</t>
  </si>
  <si>
    <t>1只大型长鼻兽+4只小型长鼻兽+2只红色飞毯单位</t>
  </si>
  <si>
    <t>总数7；左侧存在短暂重叠，以多帧交叉核对</t>
  </si>
  <si>
    <t>波17分配</t>
  </si>
  <si>
    <t>1只大型红色飞毯单位+6只小型单位</t>
  </si>
  <si>
    <t>峰值怪物数7；约08:45清空，本录像未进入第18波</t>
  </si>
  <si>
    <t>首领识别</t>
  </si>
  <si>
    <t>仅录像明确显示波次首领时标记</t>
  </si>
  <si>
    <t>第11—17波未发现明确波次首领提示，因此首领标记均为“否”</t>
  </si>
  <si>
    <t>第17波边界</t>
  </si>
  <si>
    <t>当前录像完整覆盖第17波</t>
  </si>
  <si>
    <t>待跨片核对</t>
  </si>
  <si>
    <t>N1 17-24.mp4本轮未上传，无法确认下一段是否重复包含第17波</t>
  </si>
  <si>
    <t>第6—10波补录</t>
  </si>
  <si>
    <t>使用用户本轮直接提供的属性与数量</t>
  </si>
  <si>
    <t>不伪造面板等级、取样时间或来源录像；对应字段留空</t>
  </si>
  <si>
    <t>新录像技术参数</t>
  </si>
  <si>
    <t>N1 17-24(2).mp4：600秒、1592×1196、30fps、H.264 / AVC、MP4</t>
  </si>
  <si>
    <t>ffprobe直接读取</t>
  </si>
  <si>
    <t>新录像开头处于第18波倒计时，未重复出现第17波怪物</t>
  </si>
  <si>
    <t>第17波不重复写入，仅更新边界说明</t>
  </si>
  <si>
    <t>波18分配</t>
  </si>
  <si>
    <t>1大型红袍法师+4小型红袍法师+4岩石傀儡</t>
  </si>
  <si>
    <t>总峰值9直接确认；类型数量由连续出怪顺序交叉判定</t>
  </si>
  <si>
    <t>波19分配</t>
  </si>
  <si>
    <t>1大型岩石傀儡+9小型岩石傀儡</t>
  </si>
  <si>
    <t>峰值10；大/小型属性面板均直接读取</t>
  </si>
  <si>
    <t>波20构成</t>
  </si>
  <si>
    <t>13只红色条纹野兽+1只首领04</t>
  </si>
  <si>
    <t>Boss约03:32被击杀并触发奖励界面；随后计数器峰值13，故普通怪13、Boss1</t>
  </si>
  <si>
    <t>波20首领生命</t>
  </si>
  <si>
    <t>面板显示100.001万</t>
  </si>
  <si>
    <t>按面板上限记录1,000,010；不使用受伤后的当前生命</t>
  </si>
  <si>
    <t>波21分配</t>
  </si>
  <si>
    <t>1大型绿色海兽+8小型绿色海兽</t>
  </si>
  <si>
    <t>峰值9</t>
  </si>
  <si>
    <t>波22分配</t>
  </si>
  <si>
    <t>1大型重甲角兽人+10小型同类</t>
  </si>
  <si>
    <t>峰值11</t>
  </si>
  <si>
    <t>波23分配</t>
  </si>
  <si>
    <t>1大型黑紫红翼飞龙+9小型飞龙</t>
  </si>
  <si>
    <t>峰值10</t>
  </si>
  <si>
    <t>波24分配</t>
  </si>
  <si>
    <t>1大型屠夫+4小型屠夫+4红甲近战怪+3骨翼飞行怪</t>
  </si>
  <si>
    <t>总峰值12直接确认；类型数量由逐秒出怪顺序判定</t>
  </si>
  <si>
    <t>第24波边界</t>
  </si>
  <si>
    <t>录像在第24波战斗中结束</t>
  </si>
  <si>
    <t>未看到第24波清空，也未进入第25波；第25波必须使用独立录像提取</t>
  </si>
  <si>
    <t>第25波录像技术参数</t>
  </si>
  <si>
    <t>N1 25(2).mp4：62.299967秒、1592×1196、30fps、H.264 / AVC、MP4</t>
  </si>
  <si>
    <t>第25波构成</t>
  </si>
  <si>
    <t>22只绿色火焰岩石傀儡+1只首领05</t>
  </si>
  <si>
    <t>普通怪面板为LV25；首领与普通怪分别单独编号</t>
  </si>
  <si>
    <t>第25波首领属性</t>
  </si>
  <si>
    <t>生命600.001万、攻击200002、护甲1197</t>
  </si>
  <si>
    <t>按生命上限记录6,000,010；面板显示等级1、首领05</t>
  </si>
  <si>
    <t>第25波数量证据</t>
  </si>
  <si>
    <t>计数器峰值23；首领移除后显示22</t>
  </si>
  <si>
    <t>数量确认</t>
  </si>
  <si>
    <t>录像开始时仅首领出现且计数为1，证明计数器包含首领；因此普通怪为22只</t>
  </si>
  <si>
    <t>第25波结束边界</t>
  </si>
  <si>
    <t>约00:38触发难度1通关提示；约00:55怪物计数归零</t>
  </si>
  <si>
    <t>最终Boss被击杀后普通怪仍继续被清理，按计数归零记录完整清空时间</t>
  </si>
  <si>
    <t>N1第11—25波录像技术信息与时间轴</t>
  </si>
  <si>
    <t>时长</t>
  </si>
  <si>
    <t>分辨率</t>
  </si>
  <si>
    <t>帧率</t>
  </si>
  <si>
    <t>编码</t>
  </si>
  <si>
    <t>容器</t>
  </si>
  <si>
    <t>00:01:33</t>
  </si>
  <si>
    <t>1280×720</t>
  </si>
  <si>
    <t>25 fps</t>
  </si>
  <si>
    <t>H.264 / AVC</t>
  </si>
  <si>
    <t>MP4</t>
  </si>
  <si>
    <t>00:08:49.836</t>
  </si>
  <si>
    <t>1592×1196</t>
  </si>
  <si>
    <t>约30 fps</t>
  </si>
  <si>
    <t>00:10:00</t>
  </si>
  <si>
    <t>30 fps</t>
  </si>
  <si>
    <t>00:01:02.300</t>
  </si>
  <si>
    <t>波次开始</t>
  </si>
  <si>
    <t>属性面板时间</t>
  </si>
  <si>
    <t>数量峰值时间</t>
  </si>
  <si>
    <t>波次结束/清空</t>
  </si>
  <si>
    <t>峰值数量</t>
  </si>
  <si>
    <t>边界状态</t>
  </si>
  <si>
    <t>00:14</t>
  </si>
  <si>
    <t>11A 00:16；11B 00:18；11C 00:21</t>
  </si>
  <si>
    <t>约01:18</t>
  </si>
  <si>
    <t>单独录像完整覆盖</t>
  </si>
  <si>
    <t>系统提示“第11波怪物开始进攻”；未进入第12波</t>
  </si>
  <si>
    <t>12A 00:12；12B 00:15</t>
  </si>
  <si>
    <t>约01:15</t>
  </si>
  <si>
    <t>与第13波连续</t>
  </si>
  <si>
    <t>飞行波；1大型+6小型</t>
  </si>
  <si>
    <t>13A 01:42；13B 01:44；13C 01:46</t>
  </si>
  <si>
    <t>约02:45</t>
  </si>
  <si>
    <t>与前后波连续</t>
  </si>
  <si>
    <t>14A 03:12；14B 03:14</t>
  </si>
  <si>
    <t>约04:15</t>
  </si>
  <si>
    <t>15A 04:50</t>
  </si>
  <si>
    <t>约05:45</t>
  </si>
  <si>
    <t>开波前玩家单位“首领03”已排除</t>
  </si>
  <si>
    <t>16A 06:12；16B 06:15；16C 06:16</t>
  </si>
  <si>
    <t>约07:15</t>
  </si>
  <si>
    <t>07:40</t>
  </si>
  <si>
    <t>17A 07:43；17B 07:45</t>
  </si>
  <si>
    <t>约08:45</t>
  </si>
  <si>
    <t>无重复；下一段从第18波倒计时开始</t>
  </si>
  <si>
    <t>本录像完整清空；N1 17-24(2).mp4未重复第17波</t>
  </si>
  <si>
    <t>18A 00:22；18B 00:24；18C 00:25</t>
  </si>
  <si>
    <t>约01:25</t>
  </si>
  <si>
    <t>文件开头无第17波重复</t>
  </si>
  <si>
    <t>分配1+4+4为高置信推定</t>
  </si>
  <si>
    <t>19A 01:52；19B 01:58</t>
  </si>
  <si>
    <t>1大型+9小型</t>
  </si>
  <si>
    <t>首领20B 03:30；20A 03:38</t>
  </si>
  <si>
    <t>约04:35</t>
  </si>
  <si>
    <t>峰值13发生在Boss击杀后；普通怪13+Boss1，波次总数14</t>
  </si>
  <si>
    <t>21A 04:52；21B 04:55</t>
  </si>
  <si>
    <t>约05:55</t>
  </si>
  <si>
    <t>1大型+8小型</t>
  </si>
  <si>
    <t>22A 06:22；22B 06:28</t>
  </si>
  <si>
    <t>约07:25</t>
  </si>
  <si>
    <t>1大型+10小型</t>
  </si>
  <si>
    <t>23A 07:58；23B 08:02</t>
  </si>
  <si>
    <t>约08:55</t>
  </si>
  <si>
    <t>09:20</t>
  </si>
  <si>
    <t>24A 09:22；24D 09:28；24C 09:30；24B 09:33</t>
  </si>
  <si>
    <t>未清空（录像结束）</t>
  </si>
  <si>
    <t>下一段由独立录像进入第25波</t>
  </si>
  <si>
    <t>N1 17-24(2).mp4未进入第25波；N1 25(2).mp4单独完整覆盖最终波</t>
  </si>
  <si>
    <t>25B 00:20；25A 00:22</t>
  </si>
  <si>
    <t>00:39</t>
  </si>
  <si>
    <t>约00:55</t>
  </si>
  <si>
    <t>Boss击杀后继续清理普通怪</t>
  </si>
  <si>
    <t>峰值23含Boss；Boss移除后22只普通怪；约00:55计数归零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</si>
</sst>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rgb="FF000000"/>
      <name val="Carlito"/>
      <charset val="134"/>
    </font>
    <font>
      <b/>
      <sz val="11"/>
      <name val="Carlito"/>
      <charset val="134"/>
    </font>
    <font>
      <sz val="10"/>
      <color rgb="FF1F1F1F"/>
      <name val="Carlito"/>
      <charset val="134"/>
    </font>
    <font>
      <b/>
      <sz val="11"/>
      <color rgb="FF9C0006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17" fillId="15" borderId="5" applyNumberFormat="0" applyAlignment="0" applyProtection="0">
      <alignment vertical="center"/>
    </xf>
    <xf numFmtId="0" fontId="18" fillId="15" borderId="4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0" fillId="0" borderId="0"/>
  </cellStyleXfs>
  <cellXfs count="38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Alignment="1">
      <alignment horizontal="center" vertical="center" wrapText="1"/>
    </xf>
    <xf numFmtId="0" fontId="0" fillId="0" borderId="0" xfId="49" applyNumberFormat="1" applyFont="1" applyFill="1" applyAlignment="1">
      <alignment horizontal="center" vertical="center" wrapText="1"/>
    </xf>
    <xf numFmtId="0" fontId="0" fillId="0" borderId="0" xfId="49" applyNumberFormat="1" applyFont="1" applyFill="1" applyAlignment="1">
      <alignment vertical="center" wrapText="1"/>
    </xf>
    <xf numFmtId="0" fontId="3" fillId="4" borderId="0" xfId="49" applyNumberFormat="1" applyFont="1" applyFill="1" applyAlignment="1">
      <alignment horizontal="center" vertical="center" wrapText="1"/>
    </xf>
    <xf numFmtId="0" fontId="0" fillId="5" borderId="0" xfId="49" applyNumberFormat="1" applyFont="1" applyFill="1" applyAlignment="1">
      <alignment horizontal="center" vertical="center" wrapText="1"/>
    </xf>
    <xf numFmtId="0" fontId="0" fillId="5" borderId="0" xfId="49" applyNumberFormat="1" applyFont="1" applyFill="1" applyAlignment="1">
      <alignment vertical="center" wrapText="1"/>
    </xf>
    <xf numFmtId="0" fontId="0" fillId="6" borderId="0" xfId="49" applyNumberFormat="1" applyFont="1" applyFill="1" applyAlignment="1">
      <alignment horizontal="center" vertical="center" wrapText="1"/>
    </xf>
    <xf numFmtId="0" fontId="0" fillId="6" borderId="0" xfId="49" applyNumberFormat="1" applyFont="1" applyFill="1" applyAlignment="1">
      <alignment vertical="center" wrapText="1"/>
    </xf>
    <xf numFmtId="0" fontId="0" fillId="7" borderId="0" xfId="49" applyNumberFormat="1" applyFont="1" applyFill="1" applyAlignment="1">
      <alignment horizontal="center" vertical="center" wrapText="1"/>
    </xf>
    <xf numFmtId="0" fontId="0" fillId="7" borderId="0" xfId="49" applyNumberFormat="1" applyFont="1" applyFill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4" fillId="8" borderId="0" xfId="49" applyNumberFormat="1" applyFont="1" applyFill="1" applyAlignment="1">
      <alignment vertical="center" wrapText="1"/>
    </xf>
    <xf numFmtId="0" fontId="4" fillId="0" borderId="0" xfId="49" applyNumberFormat="1" applyFont="1" applyFill="1" applyAlignment="1">
      <alignment vertical="center" wrapText="1"/>
    </xf>
    <xf numFmtId="3" fontId="0" fillId="6" borderId="0" xfId="49" applyNumberFormat="1" applyFont="1" applyFill="1" applyAlignment="1">
      <alignment horizontal="center" vertical="center" wrapText="1"/>
    </xf>
    <xf numFmtId="3" fontId="0" fillId="9" borderId="0" xfId="49" applyNumberFormat="1" applyFont="1" applyFill="1" applyAlignment="1">
      <alignment horizontal="center" vertical="center" wrapText="1"/>
    </xf>
    <xf numFmtId="0" fontId="0" fillId="9" borderId="0" xfId="49" applyNumberFormat="1" applyFont="1" applyFill="1" applyAlignment="1">
      <alignment horizontal="center" vertical="center" wrapText="1"/>
    </xf>
    <xf numFmtId="3" fontId="0" fillId="7" borderId="0" xfId="49" applyNumberFormat="1" applyFont="1" applyFill="1" applyAlignment="1">
      <alignment horizontal="center" vertical="center" wrapText="1"/>
    </xf>
    <xf numFmtId="3" fontId="0" fillId="10" borderId="0" xfId="49" applyNumberFormat="1" applyFont="1" applyFill="1" applyAlignment="1">
      <alignment horizontal="center" vertical="center" wrapText="1"/>
    </xf>
    <xf numFmtId="0" fontId="0" fillId="10" borderId="0" xfId="49" applyNumberFormat="1" applyFont="1" applyFill="1" applyAlignment="1">
      <alignment horizontal="center" vertical="center" wrapText="1"/>
    </xf>
    <xf numFmtId="0" fontId="0" fillId="11" borderId="0" xfId="49" applyNumberFormat="1" applyFont="1" applyFill="1" applyAlignment="1">
      <alignment horizontal="center" vertical="center" wrapText="1"/>
    </xf>
    <xf numFmtId="3" fontId="0" fillId="11" borderId="0" xfId="49" applyNumberFormat="1" applyFont="1" applyFill="1" applyAlignment="1">
      <alignment horizontal="center" vertical="center" wrapText="1"/>
    </xf>
    <xf numFmtId="0" fontId="0" fillId="11" borderId="0" xfId="49" applyNumberFormat="1" applyFont="1" applyFill="1" applyAlignment="1">
      <alignment vertical="center" wrapText="1"/>
    </xf>
    <xf numFmtId="3" fontId="0" fillId="5" borderId="0" xfId="49" applyNumberFormat="1" applyFont="1" applyFill="1" applyAlignment="1">
      <alignment horizontal="center" vertical="center" wrapText="1"/>
    </xf>
    <xf numFmtId="3" fontId="0" fillId="0" borderId="0" xfId="49" applyNumberFormat="1" applyFont="1" applyFill="1" applyAlignment="1">
      <alignment horizontal="center" vertical="center" wrapText="1"/>
    </xf>
    <xf numFmtId="3" fontId="0" fillId="0" borderId="0" xfId="49" applyNumberFormat="1" applyFont="1" applyFill="1" applyBorder="1" applyAlignment="1">
      <alignment vertical="center" wrapText="1"/>
    </xf>
    <xf numFmtId="0" fontId="5" fillId="5" borderId="0" xfId="49" applyNumberFormat="1" applyFont="1" applyFill="1" applyBorder="1" applyAlignment="1">
      <alignment vertical="center" wrapText="1"/>
    </xf>
    <xf numFmtId="3" fontId="0" fillId="6" borderId="0" xfId="49" applyNumberFormat="1" applyFont="1" applyFill="1" applyAlignment="1">
      <alignment horizontal="right" vertical="center" wrapText="1"/>
    </xf>
    <xf numFmtId="3" fontId="0" fillId="9" borderId="0" xfId="49" applyNumberFormat="1" applyFont="1" applyFill="1" applyAlignment="1">
      <alignment horizontal="right" vertical="center" wrapText="1"/>
    </xf>
    <xf numFmtId="0" fontId="0" fillId="9" borderId="0" xfId="49" applyNumberFormat="1" applyFont="1" applyFill="1" applyAlignment="1">
      <alignment vertical="center" wrapText="1"/>
    </xf>
    <xf numFmtId="3" fontId="0" fillId="7" borderId="0" xfId="49" applyNumberFormat="1" applyFont="1" applyFill="1" applyAlignment="1">
      <alignment horizontal="right" vertical="center" wrapText="1"/>
    </xf>
    <xf numFmtId="0" fontId="6" fillId="12" borderId="0" xfId="49" applyNumberFormat="1" applyFont="1" applyFill="1" applyAlignment="1">
      <alignment horizontal="center" vertical="center" wrapText="1"/>
    </xf>
    <xf numFmtId="3" fontId="6" fillId="12" borderId="0" xfId="49" applyNumberFormat="1" applyFont="1" applyFill="1" applyAlignment="1">
      <alignment horizontal="center" vertical="center" wrapText="1"/>
    </xf>
    <xf numFmtId="3" fontId="6" fillId="12" borderId="0" xfId="49" applyNumberFormat="1" applyFont="1" applyFill="1" applyAlignment="1">
      <alignment horizontal="right" vertical="center" wrapText="1"/>
    </xf>
    <xf numFmtId="0" fontId="6" fillId="12" borderId="0" xfId="49" applyNumberFormat="1" applyFont="1" applyFill="1" applyAlignment="1">
      <alignment vertical="center" wrapText="1"/>
    </xf>
    <xf numFmtId="3" fontId="0" fillId="5" borderId="0" xfId="49" applyNumberFormat="1" applyFont="1" applyFill="1" applyAlignment="1">
      <alignment horizontal="right" vertical="center" wrapText="1"/>
    </xf>
    <xf numFmtId="3" fontId="0" fillId="0" borderId="0" xfId="49" applyNumberFormat="1" applyFont="1" applyFill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tabSelected="1" workbookViewId="0">
      <selection activeCell="A1" sqref="A1:Q1"/>
    </sheetView>
  </sheetViews>
  <sheetFormatPr defaultColWidth="9" defaultRowHeight="14.25"/>
  <cols>
    <col min="1" max="1" width="8" customWidth="1"/>
    <col min="2" max="2" width="7" customWidth="1"/>
    <col min="3" max="3" width="10" customWidth="1"/>
    <col min="4" max="4" width="9" customWidth="1"/>
    <col min="5" max="5" width="12" customWidth="1"/>
    <col min="6" max="6" width="13" customWidth="1"/>
    <col min="7" max="7" width="12" customWidth="1"/>
    <col min="8" max="8" width="9" customWidth="1"/>
    <col min="9" max="9" width="8" customWidth="1"/>
    <col min="10" max="10" width="15" customWidth="1"/>
    <col min="11" max="11" width="28" customWidth="1"/>
    <col min="12" max="12" width="17" customWidth="1"/>
    <col min="13" max="14" width="12" customWidth="1"/>
    <col min="15" max="16" width="22" customWidth="1"/>
    <col min="17" max="17" width="42" customWidth="1"/>
  </cols>
  <sheetData>
    <row r="1" ht="28" customHeight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8" customHeight="1" spans="1:17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4" ht="32" customHeight="1" spans="1:1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</row>
    <row r="5" ht="32" customHeight="1" spans="1:17">
      <c r="A5" s="8" t="s">
        <v>19</v>
      </c>
      <c r="B5" s="8">
        <v>1</v>
      </c>
      <c r="C5" s="8" t="s">
        <v>20</v>
      </c>
      <c r="D5" s="8" t="s">
        <v>21</v>
      </c>
      <c r="E5" s="8" t="s">
        <v>22</v>
      </c>
      <c r="F5" s="15">
        <v>200</v>
      </c>
      <c r="G5" s="15">
        <v>2</v>
      </c>
      <c r="H5" s="15">
        <v>2</v>
      </c>
      <c r="I5" s="15">
        <v>6</v>
      </c>
      <c r="J5" s="28">
        <f t="shared" ref="J5:J53" si="0">F5*I5</f>
        <v>1200</v>
      </c>
      <c r="K5" s="9" t="s">
        <v>23</v>
      </c>
      <c r="L5" s="8" t="s">
        <v>22</v>
      </c>
      <c r="M5" s="8" t="s">
        <v>24</v>
      </c>
      <c r="N5" s="8" t="s">
        <v>25</v>
      </c>
      <c r="O5" s="8" t="s">
        <v>26</v>
      </c>
      <c r="P5" s="8" t="s">
        <v>27</v>
      </c>
      <c r="Q5" s="9" t="s">
        <v>28</v>
      </c>
    </row>
    <row r="6" ht="32" customHeight="1" spans="1:17">
      <c r="A6" s="8" t="s">
        <v>19</v>
      </c>
      <c r="B6" s="8">
        <v>2</v>
      </c>
      <c r="C6" s="8" t="s">
        <v>29</v>
      </c>
      <c r="D6" s="8" t="s">
        <v>21</v>
      </c>
      <c r="E6" s="8" t="s">
        <v>30</v>
      </c>
      <c r="F6" s="15">
        <v>300</v>
      </c>
      <c r="G6" s="15">
        <v>4</v>
      </c>
      <c r="H6" s="15">
        <v>3</v>
      </c>
      <c r="I6" s="15">
        <v>6</v>
      </c>
      <c r="J6" s="28">
        <f t="shared" si="0"/>
        <v>1800</v>
      </c>
      <c r="K6" s="9" t="s">
        <v>31</v>
      </c>
      <c r="L6" s="8" t="s">
        <v>30</v>
      </c>
      <c r="M6" s="8" t="s">
        <v>32</v>
      </c>
      <c r="N6" s="8" t="s">
        <v>33</v>
      </c>
      <c r="O6" s="8" t="s">
        <v>26</v>
      </c>
      <c r="P6" s="8" t="s">
        <v>27</v>
      </c>
      <c r="Q6" s="9" t="s">
        <v>28</v>
      </c>
    </row>
    <row r="7" ht="32" customHeight="1" spans="1:17">
      <c r="A7" s="8" t="s">
        <v>19</v>
      </c>
      <c r="B7" s="8">
        <v>3</v>
      </c>
      <c r="C7" s="8" t="s">
        <v>34</v>
      </c>
      <c r="D7" s="8" t="s">
        <v>21</v>
      </c>
      <c r="E7" s="8" t="s">
        <v>35</v>
      </c>
      <c r="F7" s="15">
        <v>600</v>
      </c>
      <c r="G7" s="15">
        <v>18</v>
      </c>
      <c r="H7" s="15">
        <v>4</v>
      </c>
      <c r="I7" s="15">
        <v>5</v>
      </c>
      <c r="J7" s="28">
        <f t="shared" si="0"/>
        <v>3000</v>
      </c>
      <c r="K7" s="9" t="s">
        <v>36</v>
      </c>
      <c r="L7" s="8" t="s">
        <v>35</v>
      </c>
      <c r="M7" s="8" t="s">
        <v>37</v>
      </c>
      <c r="N7" s="8" t="s">
        <v>38</v>
      </c>
      <c r="O7" s="8" t="s">
        <v>26</v>
      </c>
      <c r="P7" s="8" t="s">
        <v>27</v>
      </c>
      <c r="Q7" s="9" t="s">
        <v>39</v>
      </c>
    </row>
    <row r="8" ht="32" customHeight="1" spans="1:17">
      <c r="A8" s="17" t="s">
        <v>19</v>
      </c>
      <c r="B8" s="17">
        <v>4</v>
      </c>
      <c r="C8" s="17" t="s">
        <v>40</v>
      </c>
      <c r="D8" s="17" t="s">
        <v>21</v>
      </c>
      <c r="E8" s="17" t="s">
        <v>41</v>
      </c>
      <c r="F8" s="16">
        <v>10000</v>
      </c>
      <c r="G8" s="16">
        <v>242</v>
      </c>
      <c r="H8" s="16">
        <v>19</v>
      </c>
      <c r="I8" s="16">
        <v>1</v>
      </c>
      <c r="J8" s="29">
        <f t="shared" si="0"/>
        <v>10000</v>
      </c>
      <c r="K8" s="30" t="s">
        <v>42</v>
      </c>
      <c r="L8" s="17" t="s">
        <v>41</v>
      </c>
      <c r="M8" s="17" t="s">
        <v>43</v>
      </c>
      <c r="N8" s="17" t="s">
        <v>44</v>
      </c>
      <c r="O8" s="17" t="s">
        <v>26</v>
      </c>
      <c r="P8" s="17" t="s">
        <v>27</v>
      </c>
      <c r="Q8" s="30" t="s">
        <v>45</v>
      </c>
    </row>
    <row r="9" ht="32" customHeight="1" spans="1:17">
      <c r="A9" s="17" t="s">
        <v>19</v>
      </c>
      <c r="B9" s="17">
        <v>4</v>
      </c>
      <c r="C9" s="17" t="s">
        <v>46</v>
      </c>
      <c r="D9" s="17" t="s">
        <v>21</v>
      </c>
      <c r="E9" s="17" t="s">
        <v>41</v>
      </c>
      <c r="F9" s="16">
        <v>1000</v>
      </c>
      <c r="G9" s="16">
        <v>62</v>
      </c>
      <c r="H9" s="16">
        <v>9</v>
      </c>
      <c r="I9" s="16">
        <v>6</v>
      </c>
      <c r="J9" s="29">
        <f t="shared" si="0"/>
        <v>6000</v>
      </c>
      <c r="K9" s="30" t="s">
        <v>47</v>
      </c>
      <c r="L9" s="17" t="s">
        <v>41</v>
      </c>
      <c r="M9" s="17" t="s">
        <v>44</v>
      </c>
      <c r="N9" s="17" t="s">
        <v>44</v>
      </c>
      <c r="O9" s="17" t="s">
        <v>26</v>
      </c>
      <c r="P9" s="17" t="s">
        <v>27</v>
      </c>
      <c r="Q9" s="30" t="s">
        <v>48</v>
      </c>
    </row>
    <row r="10" ht="32" customHeight="1" spans="1:17">
      <c r="A10" s="10" t="s">
        <v>19</v>
      </c>
      <c r="B10" s="10">
        <v>5</v>
      </c>
      <c r="C10" s="10" t="s">
        <v>49</v>
      </c>
      <c r="D10" s="10" t="s">
        <v>21</v>
      </c>
      <c r="E10" s="10" t="s">
        <v>50</v>
      </c>
      <c r="F10" s="18">
        <v>2000</v>
      </c>
      <c r="G10" s="18">
        <v>202</v>
      </c>
      <c r="H10" s="18">
        <v>9</v>
      </c>
      <c r="I10" s="18">
        <v>6</v>
      </c>
      <c r="J10" s="31">
        <f t="shared" si="0"/>
        <v>12000</v>
      </c>
      <c r="K10" s="11" t="s">
        <v>51</v>
      </c>
      <c r="L10" s="10" t="s">
        <v>50</v>
      </c>
      <c r="M10" s="10" t="s">
        <v>52</v>
      </c>
      <c r="N10" s="10" t="s">
        <v>52</v>
      </c>
      <c r="O10" s="10" t="s">
        <v>26</v>
      </c>
      <c r="P10" s="10" t="s">
        <v>27</v>
      </c>
      <c r="Q10" s="11" t="s">
        <v>53</v>
      </c>
    </row>
    <row r="11" ht="32" customHeight="1" spans="1:17">
      <c r="A11" s="32" t="s">
        <v>19</v>
      </c>
      <c r="B11" s="32">
        <v>5</v>
      </c>
      <c r="C11" s="32" t="s">
        <v>54</v>
      </c>
      <c r="D11" s="32" t="s">
        <v>55</v>
      </c>
      <c r="E11" s="32" t="s">
        <v>56</v>
      </c>
      <c r="F11" s="33">
        <v>20000</v>
      </c>
      <c r="G11" s="33">
        <v>1302</v>
      </c>
      <c r="H11" s="33">
        <v>117</v>
      </c>
      <c r="I11" s="33">
        <v>1</v>
      </c>
      <c r="J11" s="34">
        <f t="shared" si="0"/>
        <v>20000</v>
      </c>
      <c r="K11" s="35" t="s">
        <v>57</v>
      </c>
      <c r="L11" s="32" t="s">
        <v>58</v>
      </c>
      <c r="M11" s="32" t="s">
        <v>59</v>
      </c>
      <c r="N11" s="32" t="s">
        <v>52</v>
      </c>
      <c r="O11" s="32" t="s">
        <v>26</v>
      </c>
      <c r="P11" s="32" t="s">
        <v>27</v>
      </c>
      <c r="Q11" s="35" t="s">
        <v>60</v>
      </c>
    </row>
    <row r="12" ht="32" customHeight="1" spans="1:17">
      <c r="A12" s="6" t="s">
        <v>19</v>
      </c>
      <c r="B12" s="6">
        <v>6</v>
      </c>
      <c r="C12" s="6" t="s">
        <v>61</v>
      </c>
      <c r="D12" s="6" t="s">
        <v>21</v>
      </c>
      <c r="E12" s="6"/>
      <c r="F12" s="24">
        <v>200</v>
      </c>
      <c r="G12" s="24">
        <v>2</v>
      </c>
      <c r="H12" s="24">
        <v>2</v>
      </c>
      <c r="I12" s="24">
        <v>6</v>
      </c>
      <c r="J12" s="36">
        <f t="shared" si="0"/>
        <v>1200</v>
      </c>
      <c r="K12" s="7" t="s">
        <v>23</v>
      </c>
      <c r="L12" s="6"/>
      <c r="M12" s="6"/>
      <c r="N12" s="6"/>
      <c r="O12" s="6" t="s">
        <v>62</v>
      </c>
      <c r="P12" s="6" t="s">
        <v>63</v>
      </c>
      <c r="Q12" s="7" t="s">
        <v>64</v>
      </c>
    </row>
    <row r="13" ht="32" customHeight="1" spans="1:17">
      <c r="A13" s="6" t="s">
        <v>19</v>
      </c>
      <c r="B13" s="6">
        <v>7</v>
      </c>
      <c r="C13" s="6" t="s">
        <v>65</v>
      </c>
      <c r="D13" s="6" t="s">
        <v>21</v>
      </c>
      <c r="E13" s="6"/>
      <c r="F13" s="24">
        <v>300</v>
      </c>
      <c r="G13" s="24">
        <v>4</v>
      </c>
      <c r="H13" s="24">
        <v>3</v>
      </c>
      <c r="I13" s="24">
        <v>6</v>
      </c>
      <c r="J13" s="36">
        <f t="shared" si="0"/>
        <v>1800</v>
      </c>
      <c r="K13" s="7" t="s">
        <v>31</v>
      </c>
      <c r="L13" s="6"/>
      <c r="M13" s="6"/>
      <c r="N13" s="6"/>
      <c r="O13" s="6" t="s">
        <v>62</v>
      </c>
      <c r="P13" s="6" t="s">
        <v>63</v>
      </c>
      <c r="Q13" s="7" t="s">
        <v>64</v>
      </c>
    </row>
    <row r="14" ht="32" customHeight="1" spans="1:17">
      <c r="A14" s="6" t="s">
        <v>19</v>
      </c>
      <c r="B14" s="6">
        <v>8</v>
      </c>
      <c r="C14" s="6" t="s">
        <v>66</v>
      </c>
      <c r="D14" s="6" t="s">
        <v>21</v>
      </c>
      <c r="E14" s="6"/>
      <c r="F14" s="24">
        <v>600</v>
      </c>
      <c r="G14" s="24">
        <v>18</v>
      </c>
      <c r="H14" s="24">
        <v>4</v>
      </c>
      <c r="I14" s="24">
        <v>5</v>
      </c>
      <c r="J14" s="36">
        <f t="shared" si="0"/>
        <v>3000</v>
      </c>
      <c r="K14" s="7" t="s">
        <v>67</v>
      </c>
      <c r="L14" s="6"/>
      <c r="M14" s="6"/>
      <c r="N14" s="6"/>
      <c r="O14" s="6" t="s">
        <v>62</v>
      </c>
      <c r="P14" s="6" t="s">
        <v>63</v>
      </c>
      <c r="Q14" s="7" t="s">
        <v>64</v>
      </c>
    </row>
    <row r="15" ht="32" customHeight="1" spans="1:17">
      <c r="A15" s="8" t="s">
        <v>19</v>
      </c>
      <c r="B15" s="8">
        <v>9</v>
      </c>
      <c r="C15" s="8" t="s">
        <v>68</v>
      </c>
      <c r="D15" s="8" t="s">
        <v>21</v>
      </c>
      <c r="E15" s="8"/>
      <c r="F15" s="15">
        <v>10000</v>
      </c>
      <c r="G15" s="15">
        <v>242</v>
      </c>
      <c r="H15" s="15">
        <v>19</v>
      </c>
      <c r="I15" s="15">
        <v>1</v>
      </c>
      <c r="J15" s="28">
        <f t="shared" si="0"/>
        <v>10000</v>
      </c>
      <c r="K15" s="9" t="s">
        <v>69</v>
      </c>
      <c r="L15" s="8"/>
      <c r="M15" s="8"/>
      <c r="N15" s="8"/>
      <c r="O15" s="8" t="s">
        <v>62</v>
      </c>
      <c r="P15" s="8" t="s">
        <v>63</v>
      </c>
      <c r="Q15" s="9" t="s">
        <v>70</v>
      </c>
    </row>
    <row r="16" ht="32" customHeight="1" spans="1:17">
      <c r="A16" s="8" t="s">
        <v>19</v>
      </c>
      <c r="B16" s="8">
        <v>9</v>
      </c>
      <c r="C16" s="8" t="s">
        <v>71</v>
      </c>
      <c r="D16" s="8" t="s">
        <v>21</v>
      </c>
      <c r="E16" s="8"/>
      <c r="F16" s="15">
        <v>1000</v>
      </c>
      <c r="G16" s="15">
        <v>62</v>
      </c>
      <c r="H16" s="15">
        <v>9</v>
      </c>
      <c r="I16" s="15">
        <v>6</v>
      </c>
      <c r="J16" s="28">
        <f t="shared" si="0"/>
        <v>6000</v>
      </c>
      <c r="K16" s="9" t="s">
        <v>47</v>
      </c>
      <c r="L16" s="8"/>
      <c r="M16" s="8"/>
      <c r="N16" s="8"/>
      <c r="O16" s="8" t="s">
        <v>62</v>
      </c>
      <c r="P16" s="8" t="s">
        <v>63</v>
      </c>
      <c r="Q16" s="9" t="s">
        <v>70</v>
      </c>
    </row>
    <row r="17" ht="32" customHeight="1" spans="1:17">
      <c r="A17" s="10" t="s">
        <v>19</v>
      </c>
      <c r="B17" s="10">
        <v>10</v>
      </c>
      <c r="C17" s="10" t="s">
        <v>72</v>
      </c>
      <c r="D17" s="10" t="s">
        <v>21</v>
      </c>
      <c r="E17" s="10"/>
      <c r="F17" s="18">
        <v>2000</v>
      </c>
      <c r="G17" s="18">
        <v>202</v>
      </c>
      <c r="H17" s="18">
        <v>9</v>
      </c>
      <c r="I17" s="18">
        <v>6</v>
      </c>
      <c r="J17" s="31">
        <f t="shared" si="0"/>
        <v>12000</v>
      </c>
      <c r="K17" s="11" t="s">
        <v>73</v>
      </c>
      <c r="L17" s="10"/>
      <c r="M17" s="10"/>
      <c r="N17" s="10"/>
      <c r="O17" s="10" t="s">
        <v>62</v>
      </c>
      <c r="P17" s="10" t="s">
        <v>63</v>
      </c>
      <c r="Q17" s="11" t="s">
        <v>74</v>
      </c>
    </row>
    <row r="18" ht="32" customHeight="1" spans="1:17">
      <c r="A18" s="10" t="s">
        <v>19</v>
      </c>
      <c r="B18" s="10">
        <v>10</v>
      </c>
      <c r="C18" s="10" t="s">
        <v>75</v>
      </c>
      <c r="D18" s="10" t="s">
        <v>55</v>
      </c>
      <c r="E18" s="10"/>
      <c r="F18" s="18">
        <v>20000</v>
      </c>
      <c r="G18" s="18">
        <v>1302</v>
      </c>
      <c r="H18" s="18">
        <v>117</v>
      </c>
      <c r="I18" s="18">
        <v>1</v>
      </c>
      <c r="J18" s="31">
        <f t="shared" si="0"/>
        <v>20000</v>
      </c>
      <c r="K18" s="11" t="s">
        <v>57</v>
      </c>
      <c r="L18" s="10"/>
      <c r="M18" s="10"/>
      <c r="N18" s="10"/>
      <c r="O18" s="10" t="s">
        <v>62</v>
      </c>
      <c r="P18" s="10" t="s">
        <v>63</v>
      </c>
      <c r="Q18" s="11" t="s">
        <v>76</v>
      </c>
    </row>
    <row r="19" ht="32" customHeight="1" spans="1:17">
      <c r="A19" s="10" t="s">
        <v>19</v>
      </c>
      <c r="B19" s="10">
        <v>11</v>
      </c>
      <c r="C19" s="10" t="s">
        <v>77</v>
      </c>
      <c r="D19" s="10" t="s">
        <v>21</v>
      </c>
      <c r="E19" s="10" t="s">
        <v>78</v>
      </c>
      <c r="F19" s="18">
        <v>200000</v>
      </c>
      <c r="G19" s="18">
        <v>8002</v>
      </c>
      <c r="H19" s="18">
        <v>95</v>
      </c>
      <c r="I19" s="18">
        <v>1</v>
      </c>
      <c r="J19" s="31">
        <f t="shared" si="0"/>
        <v>200000</v>
      </c>
      <c r="K19" s="11" t="s">
        <v>79</v>
      </c>
      <c r="L19" s="10" t="s">
        <v>78</v>
      </c>
      <c r="M19" s="10" t="s">
        <v>80</v>
      </c>
      <c r="N19" s="10" t="s">
        <v>81</v>
      </c>
      <c r="O19" s="10" t="s">
        <v>82</v>
      </c>
      <c r="P19" s="10" t="s">
        <v>83</v>
      </c>
      <c r="Q19" s="11" t="s">
        <v>84</v>
      </c>
    </row>
    <row r="20" ht="32" customHeight="1" spans="1:17">
      <c r="A20" s="6" t="s">
        <v>19</v>
      </c>
      <c r="B20" s="6">
        <v>11</v>
      </c>
      <c r="C20" s="6" t="s">
        <v>85</v>
      </c>
      <c r="D20" s="6" t="s">
        <v>21</v>
      </c>
      <c r="E20" s="6" t="s">
        <v>78</v>
      </c>
      <c r="F20" s="24">
        <v>20000</v>
      </c>
      <c r="G20" s="24">
        <v>1002</v>
      </c>
      <c r="H20" s="24">
        <v>47</v>
      </c>
      <c r="I20" s="24">
        <v>3</v>
      </c>
      <c r="J20" s="36">
        <f t="shared" si="0"/>
        <v>60000</v>
      </c>
      <c r="K20" s="7" t="s">
        <v>86</v>
      </c>
      <c r="L20" s="6" t="s">
        <v>78</v>
      </c>
      <c r="M20" s="6" t="s">
        <v>87</v>
      </c>
      <c r="N20" s="6" t="s">
        <v>81</v>
      </c>
      <c r="O20" s="6" t="s">
        <v>82</v>
      </c>
      <c r="P20" s="6" t="s">
        <v>83</v>
      </c>
      <c r="Q20" s="7" t="s">
        <v>88</v>
      </c>
    </row>
    <row r="21" ht="32" customHeight="1" spans="1:17">
      <c r="A21" s="6" t="s">
        <v>19</v>
      </c>
      <c r="B21" s="6">
        <v>11</v>
      </c>
      <c r="C21" s="6" t="s">
        <v>89</v>
      </c>
      <c r="D21" s="6" t="s">
        <v>21</v>
      </c>
      <c r="E21" s="6" t="s">
        <v>78</v>
      </c>
      <c r="F21" s="24">
        <v>20000</v>
      </c>
      <c r="G21" s="24">
        <v>2002</v>
      </c>
      <c r="H21" s="24">
        <v>47</v>
      </c>
      <c r="I21" s="24">
        <v>3</v>
      </c>
      <c r="J21" s="36">
        <f t="shared" si="0"/>
        <v>60000</v>
      </c>
      <c r="K21" s="7" t="s">
        <v>90</v>
      </c>
      <c r="L21" s="6" t="s">
        <v>78</v>
      </c>
      <c r="M21" s="6" t="s">
        <v>81</v>
      </c>
      <c r="N21" s="6" t="s">
        <v>81</v>
      </c>
      <c r="O21" s="6" t="s">
        <v>82</v>
      </c>
      <c r="P21" s="6" t="s">
        <v>83</v>
      </c>
      <c r="Q21" s="7" t="s">
        <v>91</v>
      </c>
    </row>
    <row r="22" ht="32" customHeight="1" spans="1:17">
      <c r="A22" s="8" t="s">
        <v>19</v>
      </c>
      <c r="B22" s="8">
        <v>12</v>
      </c>
      <c r="C22" s="8" t="s">
        <v>92</v>
      </c>
      <c r="D22" s="8" t="s">
        <v>21</v>
      </c>
      <c r="E22" s="8" t="s">
        <v>93</v>
      </c>
      <c r="F22" s="15">
        <v>240000</v>
      </c>
      <c r="G22" s="15">
        <v>4802</v>
      </c>
      <c r="H22" s="15">
        <v>107</v>
      </c>
      <c r="I22" s="15">
        <v>1</v>
      </c>
      <c r="J22" s="28">
        <f t="shared" si="0"/>
        <v>240000</v>
      </c>
      <c r="K22" s="9" t="s">
        <v>94</v>
      </c>
      <c r="L22" s="8" t="s">
        <v>93</v>
      </c>
      <c r="M22" s="8" t="s">
        <v>95</v>
      </c>
      <c r="N22" s="8" t="s">
        <v>25</v>
      </c>
      <c r="O22" s="8" t="s">
        <v>96</v>
      </c>
      <c r="P22" s="8" t="s">
        <v>83</v>
      </c>
      <c r="Q22" s="9" t="s">
        <v>97</v>
      </c>
    </row>
    <row r="23" ht="32" customHeight="1" spans="1:17">
      <c r="A23" s="10" t="s">
        <v>19</v>
      </c>
      <c r="B23" s="10">
        <v>12</v>
      </c>
      <c r="C23" s="10" t="s">
        <v>98</v>
      </c>
      <c r="D23" s="10" t="s">
        <v>21</v>
      </c>
      <c r="E23" s="10" t="s">
        <v>93</v>
      </c>
      <c r="F23" s="18">
        <v>24000</v>
      </c>
      <c r="G23" s="18">
        <v>1202</v>
      </c>
      <c r="H23" s="18">
        <v>53</v>
      </c>
      <c r="I23" s="18">
        <v>6</v>
      </c>
      <c r="J23" s="31">
        <f t="shared" si="0"/>
        <v>144000</v>
      </c>
      <c r="K23" s="11" t="s">
        <v>99</v>
      </c>
      <c r="L23" s="10" t="s">
        <v>93</v>
      </c>
      <c r="M23" s="10" t="s">
        <v>100</v>
      </c>
      <c r="N23" s="10" t="s">
        <v>25</v>
      </c>
      <c r="O23" s="10" t="s">
        <v>96</v>
      </c>
      <c r="P23" s="10" t="s">
        <v>83</v>
      </c>
      <c r="Q23" s="11" t="s">
        <v>101</v>
      </c>
    </row>
    <row r="24" ht="32" customHeight="1" spans="1:17">
      <c r="A24" s="10" t="s">
        <v>19</v>
      </c>
      <c r="B24" s="10">
        <v>13</v>
      </c>
      <c r="C24" s="10" t="s">
        <v>102</v>
      </c>
      <c r="D24" s="10" t="s">
        <v>21</v>
      </c>
      <c r="E24" s="10" t="s">
        <v>103</v>
      </c>
      <c r="F24" s="18">
        <v>600000</v>
      </c>
      <c r="G24" s="18">
        <v>11202</v>
      </c>
      <c r="H24" s="18">
        <v>143</v>
      </c>
      <c r="I24" s="18">
        <v>1</v>
      </c>
      <c r="J24" s="31">
        <f t="shared" si="0"/>
        <v>600000</v>
      </c>
      <c r="K24" s="11" t="s">
        <v>104</v>
      </c>
      <c r="L24" s="10" t="s">
        <v>103</v>
      </c>
      <c r="M24" s="10" t="s">
        <v>105</v>
      </c>
      <c r="N24" s="10" t="s">
        <v>106</v>
      </c>
      <c r="O24" s="10" t="s">
        <v>96</v>
      </c>
      <c r="P24" s="10" t="s">
        <v>107</v>
      </c>
      <c r="Q24" s="11" t="s">
        <v>108</v>
      </c>
    </row>
    <row r="25" ht="32" customHeight="1" spans="1:17">
      <c r="A25" s="10" t="s">
        <v>19</v>
      </c>
      <c r="B25" s="10">
        <v>13</v>
      </c>
      <c r="C25" s="10" t="s">
        <v>109</v>
      </c>
      <c r="D25" s="10" t="s">
        <v>21</v>
      </c>
      <c r="E25" s="10" t="s">
        <v>103</v>
      </c>
      <c r="F25" s="18">
        <v>60000</v>
      </c>
      <c r="G25" s="18">
        <v>2802</v>
      </c>
      <c r="H25" s="18">
        <v>71</v>
      </c>
      <c r="I25" s="18">
        <v>2</v>
      </c>
      <c r="J25" s="31">
        <f t="shared" si="0"/>
        <v>120000</v>
      </c>
      <c r="K25" s="11" t="s">
        <v>110</v>
      </c>
      <c r="L25" s="10" t="s">
        <v>103</v>
      </c>
      <c r="M25" s="10" t="s">
        <v>111</v>
      </c>
      <c r="N25" s="10" t="s">
        <v>106</v>
      </c>
      <c r="O25" s="10" t="s">
        <v>96</v>
      </c>
      <c r="P25" s="10" t="s">
        <v>107</v>
      </c>
      <c r="Q25" s="11" t="s">
        <v>112</v>
      </c>
    </row>
    <row r="26" ht="32" customHeight="1" spans="1:17">
      <c r="A26" s="6" t="s">
        <v>19</v>
      </c>
      <c r="B26" s="6">
        <v>13</v>
      </c>
      <c r="C26" s="6" t="s">
        <v>113</v>
      </c>
      <c r="D26" s="6" t="s">
        <v>21</v>
      </c>
      <c r="E26" s="6" t="s">
        <v>103</v>
      </c>
      <c r="F26" s="24">
        <v>30000</v>
      </c>
      <c r="G26" s="24">
        <v>2002</v>
      </c>
      <c r="H26" s="24">
        <v>71</v>
      </c>
      <c r="I26" s="24">
        <v>4</v>
      </c>
      <c r="J26" s="36">
        <f t="shared" si="0"/>
        <v>120000</v>
      </c>
      <c r="K26" s="7" t="s">
        <v>114</v>
      </c>
      <c r="L26" s="6" t="s">
        <v>103</v>
      </c>
      <c r="M26" s="6" t="s">
        <v>115</v>
      </c>
      <c r="N26" s="6" t="s">
        <v>106</v>
      </c>
      <c r="O26" s="6" t="s">
        <v>96</v>
      </c>
      <c r="P26" s="6" t="s">
        <v>107</v>
      </c>
      <c r="Q26" s="7" t="s">
        <v>116</v>
      </c>
    </row>
    <row r="27" ht="32" customHeight="1" spans="1:17">
      <c r="A27" s="6" t="s">
        <v>19</v>
      </c>
      <c r="B27" s="6">
        <v>14</v>
      </c>
      <c r="C27" s="6" t="s">
        <v>117</v>
      </c>
      <c r="D27" s="6" t="s">
        <v>21</v>
      </c>
      <c r="E27" s="6" t="s">
        <v>118</v>
      </c>
      <c r="F27" s="24">
        <v>400000</v>
      </c>
      <c r="G27" s="24">
        <v>4002</v>
      </c>
      <c r="H27" s="24">
        <v>167</v>
      </c>
      <c r="I27" s="24">
        <v>1</v>
      </c>
      <c r="J27" s="36">
        <f t="shared" si="0"/>
        <v>400000</v>
      </c>
      <c r="K27" s="7" t="s">
        <v>119</v>
      </c>
      <c r="L27" s="6" t="s">
        <v>118</v>
      </c>
      <c r="M27" s="6" t="s">
        <v>120</v>
      </c>
      <c r="N27" s="6" t="s">
        <v>38</v>
      </c>
      <c r="O27" s="6" t="s">
        <v>96</v>
      </c>
      <c r="P27" s="6" t="s">
        <v>83</v>
      </c>
      <c r="Q27" s="7" t="s">
        <v>97</v>
      </c>
    </row>
    <row r="28" ht="32" customHeight="1" spans="1:17">
      <c r="A28" s="3" t="s">
        <v>19</v>
      </c>
      <c r="B28" s="3">
        <v>14</v>
      </c>
      <c r="C28" s="3" t="s">
        <v>121</v>
      </c>
      <c r="D28" s="3" t="s">
        <v>21</v>
      </c>
      <c r="E28" s="3" t="s">
        <v>118</v>
      </c>
      <c r="F28" s="25">
        <v>40000</v>
      </c>
      <c r="G28" s="25">
        <v>1002</v>
      </c>
      <c r="H28" s="25">
        <v>83</v>
      </c>
      <c r="I28" s="25">
        <v>6</v>
      </c>
      <c r="J28" s="37">
        <f t="shared" si="0"/>
        <v>240000</v>
      </c>
      <c r="K28" s="4" t="s">
        <v>122</v>
      </c>
      <c r="L28" s="3" t="s">
        <v>118</v>
      </c>
      <c r="M28" s="3" t="s">
        <v>123</v>
      </c>
      <c r="N28" s="3" t="s">
        <v>38</v>
      </c>
      <c r="O28" s="3" t="s">
        <v>96</v>
      </c>
      <c r="P28" s="3" t="s">
        <v>83</v>
      </c>
      <c r="Q28" s="4" t="s">
        <v>124</v>
      </c>
    </row>
    <row r="29" ht="32" customHeight="1" spans="1:17">
      <c r="A29" s="3" t="s">
        <v>19</v>
      </c>
      <c r="B29" s="3">
        <v>15</v>
      </c>
      <c r="C29" s="3" t="s">
        <v>125</v>
      </c>
      <c r="D29" s="3" t="s">
        <v>21</v>
      </c>
      <c r="E29" s="3" t="s">
        <v>126</v>
      </c>
      <c r="F29" s="25">
        <v>80000</v>
      </c>
      <c r="G29" s="25">
        <v>6002</v>
      </c>
      <c r="H29" s="25">
        <v>95</v>
      </c>
      <c r="I29" s="25">
        <v>7</v>
      </c>
      <c r="J29" s="37">
        <f t="shared" si="0"/>
        <v>560000</v>
      </c>
      <c r="K29" s="4" t="s">
        <v>127</v>
      </c>
      <c r="L29" s="3" t="s">
        <v>126</v>
      </c>
      <c r="M29" s="3" t="s">
        <v>44</v>
      </c>
      <c r="N29" s="3" t="s">
        <v>128</v>
      </c>
      <c r="O29" s="3" t="s">
        <v>96</v>
      </c>
      <c r="P29" s="3" t="s">
        <v>83</v>
      </c>
      <c r="Q29" s="4" t="s">
        <v>129</v>
      </c>
    </row>
    <row r="30" ht="32" customHeight="1" spans="1:17">
      <c r="A30" s="3" t="s">
        <v>19</v>
      </c>
      <c r="B30" s="3">
        <v>16</v>
      </c>
      <c r="C30" s="3" t="s">
        <v>130</v>
      </c>
      <c r="D30" s="3" t="s">
        <v>21</v>
      </c>
      <c r="E30" s="3" t="s">
        <v>131</v>
      </c>
      <c r="F30" s="25">
        <v>1000000</v>
      </c>
      <c r="G30" s="25">
        <v>32002</v>
      </c>
      <c r="H30" s="25">
        <v>239</v>
      </c>
      <c r="I30" s="25">
        <v>1</v>
      </c>
      <c r="J30" s="37">
        <f t="shared" si="0"/>
        <v>1000000</v>
      </c>
      <c r="K30" s="4" t="s">
        <v>132</v>
      </c>
      <c r="L30" s="3" t="s">
        <v>131</v>
      </c>
      <c r="M30" s="3" t="s">
        <v>133</v>
      </c>
      <c r="N30" s="3" t="s">
        <v>134</v>
      </c>
      <c r="O30" s="3" t="s">
        <v>96</v>
      </c>
      <c r="P30" s="3" t="s">
        <v>107</v>
      </c>
      <c r="Q30" s="4" t="s">
        <v>135</v>
      </c>
    </row>
    <row r="31" ht="32" customHeight="1" spans="1:17">
      <c r="A31" s="3" t="s">
        <v>19</v>
      </c>
      <c r="B31" s="3">
        <v>16</v>
      </c>
      <c r="C31" s="3" t="s">
        <v>136</v>
      </c>
      <c r="D31" s="3" t="s">
        <v>21</v>
      </c>
      <c r="E31" s="3" t="s">
        <v>131</v>
      </c>
      <c r="F31" s="25">
        <v>100000</v>
      </c>
      <c r="G31" s="25">
        <v>8002</v>
      </c>
      <c r="H31" s="25">
        <v>119</v>
      </c>
      <c r="I31" s="25">
        <v>4</v>
      </c>
      <c r="J31" s="37">
        <f t="shared" si="0"/>
        <v>400000</v>
      </c>
      <c r="K31" s="4" t="s">
        <v>137</v>
      </c>
      <c r="L31" s="3" t="s">
        <v>131</v>
      </c>
      <c r="M31" s="3" t="s">
        <v>138</v>
      </c>
      <c r="N31" s="3" t="s">
        <v>134</v>
      </c>
      <c r="O31" s="3" t="s">
        <v>96</v>
      </c>
      <c r="P31" s="3" t="s">
        <v>107</v>
      </c>
      <c r="Q31" s="4" t="s">
        <v>139</v>
      </c>
    </row>
    <row r="32" ht="32" customHeight="1" spans="1:17">
      <c r="A32" s="3" t="s">
        <v>19</v>
      </c>
      <c r="B32" s="3">
        <v>16</v>
      </c>
      <c r="C32" s="3" t="s">
        <v>140</v>
      </c>
      <c r="D32" s="3" t="s">
        <v>21</v>
      </c>
      <c r="E32" s="3" t="s">
        <v>131</v>
      </c>
      <c r="F32" s="25">
        <v>100000</v>
      </c>
      <c r="G32" s="25">
        <v>7002</v>
      </c>
      <c r="H32" s="25">
        <v>107</v>
      </c>
      <c r="I32" s="25">
        <v>2</v>
      </c>
      <c r="J32" s="37">
        <f t="shared" si="0"/>
        <v>200000</v>
      </c>
      <c r="K32" s="4" t="s">
        <v>141</v>
      </c>
      <c r="L32" s="3" t="s">
        <v>131</v>
      </c>
      <c r="M32" s="3" t="s">
        <v>142</v>
      </c>
      <c r="N32" s="3" t="s">
        <v>134</v>
      </c>
      <c r="O32" s="3" t="s">
        <v>96</v>
      </c>
      <c r="P32" s="3" t="s">
        <v>107</v>
      </c>
      <c r="Q32" s="4" t="s">
        <v>143</v>
      </c>
    </row>
    <row r="33" ht="32" customHeight="1" spans="1:17">
      <c r="A33" s="3" t="s">
        <v>19</v>
      </c>
      <c r="B33" s="3">
        <v>17</v>
      </c>
      <c r="C33" s="3" t="s">
        <v>144</v>
      </c>
      <c r="D33" s="3" t="s">
        <v>21</v>
      </c>
      <c r="E33" s="3" t="s">
        <v>145</v>
      </c>
      <c r="F33" s="25">
        <v>1200000</v>
      </c>
      <c r="G33" s="25">
        <v>40002</v>
      </c>
      <c r="H33" s="25">
        <v>263</v>
      </c>
      <c r="I33" s="25">
        <v>1</v>
      </c>
      <c r="J33" s="37">
        <f t="shared" si="0"/>
        <v>1200000</v>
      </c>
      <c r="K33" s="4" t="s">
        <v>146</v>
      </c>
      <c r="L33" s="3" t="s">
        <v>145</v>
      </c>
      <c r="M33" s="3" t="s">
        <v>147</v>
      </c>
      <c r="N33" s="3" t="s">
        <v>148</v>
      </c>
      <c r="O33" s="3" t="s">
        <v>96</v>
      </c>
      <c r="P33" s="3" t="s">
        <v>83</v>
      </c>
      <c r="Q33" s="4" t="s">
        <v>149</v>
      </c>
    </row>
    <row r="34" ht="32" customHeight="1" spans="1:17">
      <c r="A34" s="3" t="s">
        <v>19</v>
      </c>
      <c r="B34" s="3">
        <v>17</v>
      </c>
      <c r="C34" s="3" t="s">
        <v>150</v>
      </c>
      <c r="D34" s="3" t="s">
        <v>21</v>
      </c>
      <c r="E34" s="3" t="s">
        <v>145</v>
      </c>
      <c r="F34" s="25">
        <v>120000</v>
      </c>
      <c r="G34" s="25">
        <v>10002</v>
      </c>
      <c r="H34" s="25">
        <v>131</v>
      </c>
      <c r="I34" s="25">
        <v>6</v>
      </c>
      <c r="J34" s="37">
        <f t="shared" si="0"/>
        <v>720000</v>
      </c>
      <c r="K34" s="4" t="s">
        <v>151</v>
      </c>
      <c r="L34" s="3" t="s">
        <v>145</v>
      </c>
      <c r="M34" s="3" t="s">
        <v>152</v>
      </c>
      <c r="N34" s="3" t="s">
        <v>148</v>
      </c>
      <c r="O34" s="3" t="s">
        <v>96</v>
      </c>
      <c r="P34" s="3" t="s">
        <v>83</v>
      </c>
      <c r="Q34" s="4" t="s">
        <v>153</v>
      </c>
    </row>
    <row r="35" ht="32" customHeight="1" spans="1:17">
      <c r="A35" s="3" t="s">
        <v>19</v>
      </c>
      <c r="B35" s="3">
        <v>18</v>
      </c>
      <c r="C35" s="3" t="s">
        <v>154</v>
      </c>
      <c r="D35" s="3" t="s">
        <v>21</v>
      </c>
      <c r="E35" s="3" t="s">
        <v>155</v>
      </c>
      <c r="F35" s="25">
        <v>1400000</v>
      </c>
      <c r="G35" s="25">
        <v>60002</v>
      </c>
      <c r="H35" s="25">
        <v>287</v>
      </c>
      <c r="I35" s="25">
        <v>1</v>
      </c>
      <c r="J35" s="37">
        <f t="shared" si="0"/>
        <v>1400000</v>
      </c>
      <c r="K35" s="4" t="s">
        <v>156</v>
      </c>
      <c r="L35" s="3" t="s">
        <v>155</v>
      </c>
      <c r="M35" s="3" t="s">
        <v>157</v>
      </c>
      <c r="N35" s="3" t="s">
        <v>158</v>
      </c>
      <c r="O35" s="3" t="s">
        <v>159</v>
      </c>
      <c r="P35" s="3" t="s">
        <v>107</v>
      </c>
      <c r="Q35" s="4" t="s">
        <v>160</v>
      </c>
    </row>
    <row r="36" ht="32" customHeight="1" spans="1:17">
      <c r="A36" s="3" t="s">
        <v>19</v>
      </c>
      <c r="B36" s="3">
        <v>18</v>
      </c>
      <c r="C36" s="3" t="s">
        <v>161</v>
      </c>
      <c r="D36" s="3" t="s">
        <v>21</v>
      </c>
      <c r="E36" s="3" t="s">
        <v>155</v>
      </c>
      <c r="F36" s="25">
        <v>140000</v>
      </c>
      <c r="G36" s="25">
        <v>15002</v>
      </c>
      <c r="H36" s="25">
        <v>143</v>
      </c>
      <c r="I36" s="25">
        <v>4</v>
      </c>
      <c r="J36" s="37">
        <f t="shared" si="0"/>
        <v>560000</v>
      </c>
      <c r="K36" s="4" t="s">
        <v>162</v>
      </c>
      <c r="L36" s="3" t="s">
        <v>155</v>
      </c>
      <c r="M36" s="3" t="s">
        <v>163</v>
      </c>
      <c r="N36" s="3" t="s">
        <v>158</v>
      </c>
      <c r="O36" s="3" t="s">
        <v>159</v>
      </c>
      <c r="P36" s="3" t="s">
        <v>107</v>
      </c>
      <c r="Q36" s="4" t="s">
        <v>164</v>
      </c>
    </row>
    <row r="37" ht="32" customHeight="1" spans="1:17">
      <c r="A37" s="3" t="s">
        <v>19</v>
      </c>
      <c r="B37" s="3">
        <v>18</v>
      </c>
      <c r="C37" s="3" t="s">
        <v>165</v>
      </c>
      <c r="D37" s="3" t="s">
        <v>21</v>
      </c>
      <c r="E37" s="3" t="s">
        <v>155</v>
      </c>
      <c r="F37" s="25">
        <v>140000</v>
      </c>
      <c r="G37" s="25">
        <v>15002</v>
      </c>
      <c r="H37" s="25">
        <v>143</v>
      </c>
      <c r="I37" s="25">
        <v>4</v>
      </c>
      <c r="J37" s="37">
        <f t="shared" si="0"/>
        <v>560000</v>
      </c>
      <c r="K37" s="4" t="s">
        <v>166</v>
      </c>
      <c r="L37" s="3" t="s">
        <v>155</v>
      </c>
      <c r="M37" s="3" t="s">
        <v>167</v>
      </c>
      <c r="N37" s="3" t="s">
        <v>158</v>
      </c>
      <c r="O37" s="3" t="s">
        <v>159</v>
      </c>
      <c r="P37" s="3" t="s">
        <v>107</v>
      </c>
      <c r="Q37" s="4" t="s">
        <v>168</v>
      </c>
    </row>
    <row r="38" ht="32" customHeight="1" spans="1:17">
      <c r="A38" s="3" t="s">
        <v>19</v>
      </c>
      <c r="B38" s="3">
        <v>19</v>
      </c>
      <c r="C38" s="3" t="s">
        <v>169</v>
      </c>
      <c r="D38" s="3" t="s">
        <v>21</v>
      </c>
      <c r="E38" s="3" t="s">
        <v>170</v>
      </c>
      <c r="F38" s="25">
        <v>2000000</v>
      </c>
      <c r="G38" s="25">
        <v>80002</v>
      </c>
      <c r="H38" s="25">
        <v>311</v>
      </c>
      <c r="I38" s="25">
        <v>1</v>
      </c>
      <c r="J38" s="37">
        <f t="shared" si="0"/>
        <v>2000000</v>
      </c>
      <c r="K38" s="4" t="s">
        <v>171</v>
      </c>
      <c r="L38" s="3" t="s">
        <v>170</v>
      </c>
      <c r="M38" s="3" t="s">
        <v>172</v>
      </c>
      <c r="N38" s="3" t="s">
        <v>173</v>
      </c>
      <c r="O38" s="3" t="s">
        <v>159</v>
      </c>
      <c r="P38" s="3" t="s">
        <v>83</v>
      </c>
      <c r="Q38" s="4" t="s">
        <v>174</v>
      </c>
    </row>
    <row r="39" ht="32" customHeight="1" spans="1:17">
      <c r="A39" s="3" t="s">
        <v>19</v>
      </c>
      <c r="B39" s="3">
        <v>19</v>
      </c>
      <c r="C39" s="3" t="s">
        <v>175</v>
      </c>
      <c r="D39" s="3" t="s">
        <v>21</v>
      </c>
      <c r="E39" s="3" t="s">
        <v>170</v>
      </c>
      <c r="F39" s="25">
        <v>200000</v>
      </c>
      <c r="G39" s="25">
        <v>20002</v>
      </c>
      <c r="H39" s="25">
        <v>155</v>
      </c>
      <c r="I39" s="25">
        <v>9</v>
      </c>
      <c r="J39" s="37">
        <f t="shared" si="0"/>
        <v>1800000</v>
      </c>
      <c r="K39" s="4" t="s">
        <v>176</v>
      </c>
      <c r="L39" s="3" t="s">
        <v>170</v>
      </c>
      <c r="M39" s="3" t="s">
        <v>177</v>
      </c>
      <c r="N39" s="3" t="s">
        <v>173</v>
      </c>
      <c r="O39" s="3" t="s">
        <v>159</v>
      </c>
      <c r="P39" s="3" t="s">
        <v>83</v>
      </c>
      <c r="Q39" s="4" t="s">
        <v>178</v>
      </c>
    </row>
    <row r="40" ht="32" customHeight="1" spans="1:17">
      <c r="A40" s="3" t="s">
        <v>19</v>
      </c>
      <c r="B40" s="3">
        <v>20</v>
      </c>
      <c r="C40" s="3" t="s">
        <v>179</v>
      </c>
      <c r="D40" s="3" t="s">
        <v>21</v>
      </c>
      <c r="E40" s="3" t="s">
        <v>180</v>
      </c>
      <c r="F40" s="25">
        <v>220000</v>
      </c>
      <c r="G40" s="25">
        <v>22002</v>
      </c>
      <c r="H40" s="25">
        <v>155</v>
      </c>
      <c r="I40" s="25">
        <v>13</v>
      </c>
      <c r="J40" s="37">
        <f t="shared" si="0"/>
        <v>2860000</v>
      </c>
      <c r="K40" s="4" t="s">
        <v>181</v>
      </c>
      <c r="L40" s="3" t="s">
        <v>180</v>
      </c>
      <c r="M40" s="3" t="s">
        <v>182</v>
      </c>
      <c r="N40" s="3" t="s">
        <v>183</v>
      </c>
      <c r="O40" s="3" t="s">
        <v>159</v>
      </c>
      <c r="P40" s="3" t="s">
        <v>107</v>
      </c>
      <c r="Q40" s="4" t="s">
        <v>184</v>
      </c>
    </row>
    <row r="41" ht="32" customHeight="1" spans="1:17">
      <c r="A41" s="3" t="s">
        <v>19</v>
      </c>
      <c r="B41" s="3">
        <v>20</v>
      </c>
      <c r="C41" s="3" t="s">
        <v>185</v>
      </c>
      <c r="D41" s="3" t="s">
        <v>55</v>
      </c>
      <c r="E41" s="3" t="s">
        <v>56</v>
      </c>
      <c r="F41" s="25">
        <v>1000010</v>
      </c>
      <c r="G41" s="25">
        <v>121002</v>
      </c>
      <c r="H41" s="25">
        <v>1197</v>
      </c>
      <c r="I41" s="25">
        <v>1</v>
      </c>
      <c r="J41" s="37">
        <f t="shared" si="0"/>
        <v>1000010</v>
      </c>
      <c r="K41" s="4" t="s">
        <v>186</v>
      </c>
      <c r="L41" s="3" t="s">
        <v>187</v>
      </c>
      <c r="M41" s="3" t="s">
        <v>188</v>
      </c>
      <c r="N41" s="3" t="s">
        <v>188</v>
      </c>
      <c r="O41" s="3" t="s">
        <v>159</v>
      </c>
      <c r="P41" s="3" t="s">
        <v>83</v>
      </c>
      <c r="Q41" s="4" t="s">
        <v>189</v>
      </c>
    </row>
    <row r="42" ht="32" customHeight="1" spans="1:17">
      <c r="A42" s="3" t="s">
        <v>19</v>
      </c>
      <c r="B42" s="3">
        <v>21</v>
      </c>
      <c r="C42" s="3" t="s">
        <v>190</v>
      </c>
      <c r="D42" s="3" t="s">
        <v>21</v>
      </c>
      <c r="E42" s="3" t="s">
        <v>191</v>
      </c>
      <c r="F42" s="25">
        <v>3000000</v>
      </c>
      <c r="G42" s="25">
        <v>104002</v>
      </c>
      <c r="H42" s="25">
        <v>311</v>
      </c>
      <c r="I42" s="25">
        <v>1</v>
      </c>
      <c r="J42" s="37">
        <f t="shared" si="0"/>
        <v>3000000</v>
      </c>
      <c r="K42" s="4" t="s">
        <v>192</v>
      </c>
      <c r="L42" s="3" t="s">
        <v>191</v>
      </c>
      <c r="M42" s="3" t="s">
        <v>193</v>
      </c>
      <c r="N42" s="3" t="s">
        <v>128</v>
      </c>
      <c r="O42" s="3" t="s">
        <v>159</v>
      </c>
      <c r="P42" s="3" t="s">
        <v>83</v>
      </c>
      <c r="Q42" s="4" t="s">
        <v>194</v>
      </c>
    </row>
    <row r="43" ht="32" customHeight="1" spans="1:17">
      <c r="A43" s="3" t="s">
        <v>19</v>
      </c>
      <c r="B43" s="3">
        <v>21</v>
      </c>
      <c r="C43" s="3" t="s">
        <v>195</v>
      </c>
      <c r="D43" s="3" t="s">
        <v>21</v>
      </c>
      <c r="E43" s="3" t="s">
        <v>191</v>
      </c>
      <c r="F43" s="25">
        <v>300000</v>
      </c>
      <c r="G43" s="25">
        <v>26002</v>
      </c>
      <c r="H43" s="25">
        <v>155</v>
      </c>
      <c r="I43" s="25">
        <v>8</v>
      </c>
      <c r="J43" s="37">
        <f t="shared" si="0"/>
        <v>2400000</v>
      </c>
      <c r="K43" s="4" t="s">
        <v>196</v>
      </c>
      <c r="L43" s="3" t="s">
        <v>191</v>
      </c>
      <c r="M43" s="3" t="s">
        <v>197</v>
      </c>
      <c r="N43" s="3" t="s">
        <v>128</v>
      </c>
      <c r="O43" s="3" t="s">
        <v>159</v>
      </c>
      <c r="P43" s="3" t="s">
        <v>83</v>
      </c>
      <c r="Q43" s="4" t="s">
        <v>198</v>
      </c>
    </row>
    <row r="44" ht="32" customHeight="1" spans="1:17">
      <c r="A44" s="3" t="s">
        <v>19</v>
      </c>
      <c r="B44" s="3">
        <v>22</v>
      </c>
      <c r="C44" s="3" t="s">
        <v>199</v>
      </c>
      <c r="D44" s="3" t="s">
        <v>21</v>
      </c>
      <c r="E44" s="3" t="s">
        <v>200</v>
      </c>
      <c r="F44" s="25">
        <v>4000000</v>
      </c>
      <c r="G44" s="25">
        <v>120002</v>
      </c>
      <c r="H44" s="25">
        <v>323</v>
      </c>
      <c r="I44" s="25">
        <v>1</v>
      </c>
      <c r="J44" s="37">
        <f t="shared" si="0"/>
        <v>4000000</v>
      </c>
      <c r="K44" s="4" t="s">
        <v>201</v>
      </c>
      <c r="L44" s="3" t="s">
        <v>200</v>
      </c>
      <c r="M44" s="3" t="s">
        <v>202</v>
      </c>
      <c r="N44" s="3" t="s">
        <v>203</v>
      </c>
      <c r="O44" s="3" t="s">
        <v>159</v>
      </c>
      <c r="P44" s="3" t="s">
        <v>83</v>
      </c>
      <c r="Q44" s="4" t="s">
        <v>204</v>
      </c>
    </row>
    <row r="45" ht="32" customHeight="1" spans="1:17">
      <c r="A45" s="3" t="s">
        <v>19</v>
      </c>
      <c r="B45" s="3">
        <v>22</v>
      </c>
      <c r="C45" s="3" t="s">
        <v>205</v>
      </c>
      <c r="D45" s="3" t="s">
        <v>21</v>
      </c>
      <c r="E45" s="3" t="s">
        <v>200</v>
      </c>
      <c r="F45" s="25">
        <v>400000</v>
      </c>
      <c r="G45" s="25">
        <v>30002</v>
      </c>
      <c r="H45" s="25">
        <v>161</v>
      </c>
      <c r="I45" s="25">
        <v>10</v>
      </c>
      <c r="J45" s="37">
        <f t="shared" si="0"/>
        <v>4000000</v>
      </c>
      <c r="K45" s="4" t="s">
        <v>206</v>
      </c>
      <c r="L45" s="3" t="s">
        <v>200</v>
      </c>
      <c r="M45" s="3" t="s">
        <v>207</v>
      </c>
      <c r="N45" s="3" t="s">
        <v>203</v>
      </c>
      <c r="O45" s="3" t="s">
        <v>159</v>
      </c>
      <c r="P45" s="3" t="s">
        <v>83</v>
      </c>
      <c r="Q45" s="4" t="s">
        <v>178</v>
      </c>
    </row>
    <row r="46" ht="32" customHeight="1" spans="1:17">
      <c r="A46" s="3" t="s">
        <v>19</v>
      </c>
      <c r="B46" s="3">
        <v>23</v>
      </c>
      <c r="C46" s="3" t="s">
        <v>208</v>
      </c>
      <c r="D46" s="3" t="s">
        <v>21</v>
      </c>
      <c r="E46" s="3" t="s">
        <v>209</v>
      </c>
      <c r="F46" s="25">
        <v>5000000</v>
      </c>
      <c r="G46" s="25">
        <v>144002</v>
      </c>
      <c r="H46" s="25">
        <v>335</v>
      </c>
      <c r="I46" s="25">
        <v>1</v>
      </c>
      <c r="J46" s="37">
        <f t="shared" si="0"/>
        <v>5000000</v>
      </c>
      <c r="K46" s="4" t="s">
        <v>210</v>
      </c>
      <c r="L46" s="3" t="s">
        <v>209</v>
      </c>
      <c r="M46" s="3" t="s">
        <v>211</v>
      </c>
      <c r="N46" s="3" t="s">
        <v>212</v>
      </c>
      <c r="O46" s="3" t="s">
        <v>159</v>
      </c>
      <c r="P46" s="3" t="s">
        <v>83</v>
      </c>
      <c r="Q46" s="4" t="s">
        <v>174</v>
      </c>
    </row>
    <row r="47" ht="32" customHeight="1" spans="1:17">
      <c r="A47" s="3" t="s">
        <v>19</v>
      </c>
      <c r="B47" s="3">
        <v>23</v>
      </c>
      <c r="C47" s="3" t="s">
        <v>213</v>
      </c>
      <c r="D47" s="3" t="s">
        <v>21</v>
      </c>
      <c r="E47" s="3" t="s">
        <v>209</v>
      </c>
      <c r="F47" s="25">
        <v>500000</v>
      </c>
      <c r="G47" s="25">
        <v>36002</v>
      </c>
      <c r="H47" s="25">
        <v>167</v>
      </c>
      <c r="I47" s="25">
        <v>9</v>
      </c>
      <c r="J47" s="37">
        <f t="shared" si="0"/>
        <v>4500000</v>
      </c>
      <c r="K47" s="4" t="s">
        <v>214</v>
      </c>
      <c r="L47" s="3" t="s">
        <v>209</v>
      </c>
      <c r="M47" s="3" t="s">
        <v>212</v>
      </c>
      <c r="N47" s="3" t="s">
        <v>212</v>
      </c>
      <c r="O47" s="3" t="s">
        <v>159</v>
      </c>
      <c r="P47" s="3" t="s">
        <v>83</v>
      </c>
      <c r="Q47" s="4" t="s">
        <v>215</v>
      </c>
    </row>
    <row r="48" ht="32" customHeight="1" spans="1:17">
      <c r="A48" s="3" t="s">
        <v>19</v>
      </c>
      <c r="B48" s="3">
        <v>24</v>
      </c>
      <c r="C48" s="3" t="s">
        <v>216</v>
      </c>
      <c r="D48" s="3" t="s">
        <v>21</v>
      </c>
      <c r="E48" s="3" t="s">
        <v>217</v>
      </c>
      <c r="F48" s="25">
        <v>6000000</v>
      </c>
      <c r="G48" s="25">
        <v>160002</v>
      </c>
      <c r="H48" s="25">
        <v>359</v>
      </c>
      <c r="I48" s="25">
        <v>1</v>
      </c>
      <c r="J48" s="37">
        <f t="shared" si="0"/>
        <v>6000000</v>
      </c>
      <c r="K48" s="4" t="s">
        <v>218</v>
      </c>
      <c r="L48" s="3" t="s">
        <v>217</v>
      </c>
      <c r="M48" s="3" t="s">
        <v>219</v>
      </c>
      <c r="N48" s="3" t="s">
        <v>220</v>
      </c>
      <c r="O48" s="3" t="s">
        <v>159</v>
      </c>
      <c r="P48" s="3" t="s">
        <v>107</v>
      </c>
      <c r="Q48" s="4" t="s">
        <v>221</v>
      </c>
    </row>
    <row r="49" ht="32" customHeight="1" spans="1:17">
      <c r="A49" s="3" t="s">
        <v>19</v>
      </c>
      <c r="B49" s="3">
        <v>24</v>
      </c>
      <c r="C49" s="3" t="s">
        <v>222</v>
      </c>
      <c r="D49" s="3" t="s">
        <v>21</v>
      </c>
      <c r="E49" s="3" t="s">
        <v>217</v>
      </c>
      <c r="F49" s="25">
        <v>600000</v>
      </c>
      <c r="G49" s="25">
        <v>40002</v>
      </c>
      <c r="H49" s="25">
        <v>179</v>
      </c>
      <c r="I49" s="25">
        <v>4</v>
      </c>
      <c r="J49" s="37">
        <f t="shared" si="0"/>
        <v>2400000</v>
      </c>
      <c r="K49" s="4" t="s">
        <v>223</v>
      </c>
      <c r="L49" s="3" t="s">
        <v>217</v>
      </c>
      <c r="M49" s="3" t="s">
        <v>220</v>
      </c>
      <c r="N49" s="3" t="s">
        <v>220</v>
      </c>
      <c r="O49" s="3" t="s">
        <v>159</v>
      </c>
      <c r="P49" s="3" t="s">
        <v>107</v>
      </c>
      <c r="Q49" s="4" t="s">
        <v>224</v>
      </c>
    </row>
    <row r="50" ht="32" customHeight="1" spans="1:17">
      <c r="A50" s="3" t="s">
        <v>19</v>
      </c>
      <c r="B50" s="3">
        <v>24</v>
      </c>
      <c r="C50" s="3" t="s">
        <v>225</v>
      </c>
      <c r="D50" s="3" t="s">
        <v>21</v>
      </c>
      <c r="E50" s="3" t="s">
        <v>217</v>
      </c>
      <c r="F50" s="25">
        <v>600000</v>
      </c>
      <c r="G50" s="25">
        <v>46002</v>
      </c>
      <c r="H50" s="25">
        <v>185</v>
      </c>
      <c r="I50" s="25">
        <v>4</v>
      </c>
      <c r="J50" s="37">
        <f t="shared" si="0"/>
        <v>2400000</v>
      </c>
      <c r="K50" s="4" t="s">
        <v>226</v>
      </c>
      <c r="L50" s="3" t="s">
        <v>217</v>
      </c>
      <c r="M50" s="3" t="s">
        <v>227</v>
      </c>
      <c r="N50" s="3" t="s">
        <v>220</v>
      </c>
      <c r="O50" s="3" t="s">
        <v>159</v>
      </c>
      <c r="P50" s="3" t="s">
        <v>107</v>
      </c>
      <c r="Q50" s="4" t="s">
        <v>228</v>
      </c>
    </row>
    <row r="51" ht="32" customHeight="1" spans="1:17">
      <c r="A51" s="3" t="s">
        <v>19</v>
      </c>
      <c r="B51" s="3">
        <v>24</v>
      </c>
      <c r="C51" s="3" t="s">
        <v>229</v>
      </c>
      <c r="D51" s="3" t="s">
        <v>21</v>
      </c>
      <c r="E51" s="3" t="s">
        <v>217</v>
      </c>
      <c r="F51" s="25">
        <v>700000</v>
      </c>
      <c r="G51" s="25">
        <v>18002</v>
      </c>
      <c r="H51" s="25">
        <v>173</v>
      </c>
      <c r="I51" s="25">
        <v>3</v>
      </c>
      <c r="J51" s="37">
        <f t="shared" si="0"/>
        <v>2100000</v>
      </c>
      <c r="K51" s="4" t="s">
        <v>230</v>
      </c>
      <c r="L51" s="3" t="s">
        <v>217</v>
      </c>
      <c r="M51" s="3" t="s">
        <v>231</v>
      </c>
      <c r="N51" s="3" t="s">
        <v>220</v>
      </c>
      <c r="O51" s="3" t="s">
        <v>159</v>
      </c>
      <c r="P51" s="3" t="s">
        <v>107</v>
      </c>
      <c r="Q51" s="4" t="s">
        <v>232</v>
      </c>
    </row>
    <row r="52" ht="30" customHeight="1" spans="1:17">
      <c r="A52" s="12" t="s">
        <v>19</v>
      </c>
      <c r="B52" s="12">
        <v>25</v>
      </c>
      <c r="C52" s="12" t="s">
        <v>233</v>
      </c>
      <c r="D52" s="12" t="s">
        <v>21</v>
      </c>
      <c r="E52" s="12" t="s">
        <v>234</v>
      </c>
      <c r="F52" s="26">
        <v>1000000</v>
      </c>
      <c r="G52" s="26">
        <v>52002</v>
      </c>
      <c r="H52" s="26">
        <v>191</v>
      </c>
      <c r="I52" s="26">
        <v>22</v>
      </c>
      <c r="J52" s="26">
        <f t="shared" si="0"/>
        <v>22000000</v>
      </c>
      <c r="K52" s="12" t="s">
        <v>235</v>
      </c>
      <c r="L52" s="12" t="s">
        <v>234</v>
      </c>
      <c r="M52" s="12" t="s">
        <v>157</v>
      </c>
      <c r="N52" s="12" t="s">
        <v>236</v>
      </c>
      <c r="O52" s="12" t="s">
        <v>237</v>
      </c>
      <c r="P52" s="12" t="s">
        <v>83</v>
      </c>
      <c r="Q52" s="12" t="s">
        <v>238</v>
      </c>
    </row>
    <row r="53" ht="30" customHeight="1" spans="1:17">
      <c r="A53" s="12" t="s">
        <v>19</v>
      </c>
      <c r="B53" s="12">
        <v>25</v>
      </c>
      <c r="C53" s="12" t="s">
        <v>239</v>
      </c>
      <c r="D53" s="12" t="s">
        <v>55</v>
      </c>
      <c r="E53" s="12" t="s">
        <v>56</v>
      </c>
      <c r="F53" s="26">
        <v>6000010</v>
      </c>
      <c r="G53" s="26">
        <v>200002</v>
      </c>
      <c r="H53" s="26">
        <v>1197</v>
      </c>
      <c r="I53" s="26">
        <v>1</v>
      </c>
      <c r="J53" s="26">
        <f t="shared" si="0"/>
        <v>6000010</v>
      </c>
      <c r="K53" s="12" t="s">
        <v>240</v>
      </c>
      <c r="L53" s="12" t="s">
        <v>241</v>
      </c>
      <c r="M53" s="12" t="s">
        <v>25</v>
      </c>
      <c r="N53" s="12" t="s">
        <v>242</v>
      </c>
      <c r="O53" s="12" t="s">
        <v>237</v>
      </c>
      <c r="P53" s="12" t="s">
        <v>83</v>
      </c>
      <c r="Q53" s="12" t="s">
        <v>243</v>
      </c>
    </row>
  </sheetData>
  <mergeCells count="2">
    <mergeCell ref="A1:Q1"/>
    <mergeCell ref="A2:Q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workbookViewId="0">
      <selection activeCell="A1" sqref="A1:M1"/>
    </sheetView>
  </sheetViews>
  <sheetFormatPr defaultColWidth="9" defaultRowHeight="14.25"/>
  <cols>
    <col min="1" max="1" width="7" customWidth="1"/>
    <col min="2" max="2" width="11" customWidth="1"/>
    <col min="3" max="5" width="12" customWidth="1"/>
    <col min="6" max="9" width="15" customWidth="1"/>
    <col min="10" max="10" width="28" customWidth="1"/>
    <col min="11" max="11" width="16" customWidth="1"/>
    <col min="12" max="12" width="24" customWidth="1"/>
    <col min="13" max="13" width="45" customWidth="1"/>
  </cols>
  <sheetData>
    <row r="1" ht="28" customHeight="1" spans="1:13">
      <c r="A1" s="1" t="s">
        <v>244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ht="32" customHeight="1" spans="1:13">
      <c r="A3" s="2" t="s">
        <v>3</v>
      </c>
      <c r="B3" s="2" t="s">
        <v>245</v>
      </c>
      <c r="C3" s="2" t="s">
        <v>246</v>
      </c>
      <c r="D3" s="2" t="s">
        <v>247</v>
      </c>
      <c r="E3" s="2" t="s">
        <v>248</v>
      </c>
      <c r="F3" s="2" t="s">
        <v>249</v>
      </c>
      <c r="G3" s="2" t="s">
        <v>250</v>
      </c>
      <c r="H3" s="2" t="s">
        <v>251</v>
      </c>
      <c r="I3" s="2" t="s">
        <v>252</v>
      </c>
      <c r="J3" s="2" t="s">
        <v>253</v>
      </c>
      <c r="K3" s="2" t="s">
        <v>254</v>
      </c>
      <c r="L3" s="2" t="s">
        <v>16</v>
      </c>
      <c r="M3" s="2" t="s">
        <v>18</v>
      </c>
    </row>
    <row r="4" ht="30" customHeight="1" spans="1:13">
      <c r="A4" s="15">
        <v>1</v>
      </c>
      <c r="B4" s="15">
        <v>1</v>
      </c>
      <c r="C4" s="15">
        <v>6</v>
      </c>
      <c r="D4" s="15">
        <v>0</v>
      </c>
      <c r="E4" s="15">
        <v>6</v>
      </c>
      <c r="F4" s="15">
        <v>1200</v>
      </c>
      <c r="G4" s="15">
        <v>200</v>
      </c>
      <c r="H4" s="15">
        <v>2</v>
      </c>
      <c r="I4" s="15">
        <v>2</v>
      </c>
      <c r="J4" s="8" t="s">
        <v>255</v>
      </c>
      <c r="K4" s="8" t="s">
        <v>256</v>
      </c>
      <c r="L4" s="4" t="s">
        <v>26</v>
      </c>
      <c r="M4" s="4" t="s">
        <v>257</v>
      </c>
    </row>
    <row r="5" ht="30" customHeight="1" spans="1:13">
      <c r="A5" s="15">
        <v>2</v>
      </c>
      <c r="B5" s="15">
        <v>1</v>
      </c>
      <c r="C5" s="15">
        <v>6</v>
      </c>
      <c r="D5" s="15">
        <v>0</v>
      </c>
      <c r="E5" s="15">
        <v>6</v>
      </c>
      <c r="F5" s="15">
        <v>1800</v>
      </c>
      <c r="G5" s="15">
        <v>300</v>
      </c>
      <c r="H5" s="15">
        <v>4</v>
      </c>
      <c r="I5" s="15">
        <v>3</v>
      </c>
      <c r="J5" s="8" t="s">
        <v>258</v>
      </c>
      <c r="K5" s="8" t="s">
        <v>256</v>
      </c>
      <c r="L5" s="4" t="s">
        <v>26</v>
      </c>
      <c r="M5" s="4" t="s">
        <v>257</v>
      </c>
    </row>
    <row r="6" ht="30" customHeight="1" spans="1:13">
      <c r="A6" s="15">
        <v>3</v>
      </c>
      <c r="B6" s="15">
        <v>1</v>
      </c>
      <c r="C6" s="15">
        <v>5</v>
      </c>
      <c r="D6" s="15">
        <v>0</v>
      </c>
      <c r="E6" s="15">
        <v>5</v>
      </c>
      <c r="F6" s="15">
        <v>3000</v>
      </c>
      <c r="G6" s="15">
        <v>600</v>
      </c>
      <c r="H6" s="15">
        <v>18</v>
      </c>
      <c r="I6" s="15">
        <v>4</v>
      </c>
      <c r="J6" s="8" t="s">
        <v>259</v>
      </c>
      <c r="K6" s="8" t="s">
        <v>256</v>
      </c>
      <c r="L6" s="4" t="s">
        <v>26</v>
      </c>
      <c r="M6" s="4" t="s">
        <v>257</v>
      </c>
    </row>
    <row r="7" ht="30" customHeight="1" spans="1:13">
      <c r="A7" s="16">
        <v>4</v>
      </c>
      <c r="B7" s="16">
        <v>2</v>
      </c>
      <c r="C7" s="16">
        <v>7</v>
      </c>
      <c r="D7" s="16">
        <v>0</v>
      </c>
      <c r="E7" s="16">
        <v>7</v>
      </c>
      <c r="F7" s="16">
        <v>16000</v>
      </c>
      <c r="G7" s="16">
        <v>10000</v>
      </c>
      <c r="H7" s="16">
        <v>242</v>
      </c>
      <c r="I7" s="16">
        <v>19</v>
      </c>
      <c r="J7" s="17" t="s">
        <v>260</v>
      </c>
      <c r="K7" s="17" t="s">
        <v>261</v>
      </c>
      <c r="L7" s="4" t="s">
        <v>26</v>
      </c>
      <c r="M7" s="4" t="s">
        <v>257</v>
      </c>
    </row>
    <row r="8" ht="30" customHeight="1" spans="1:13">
      <c r="A8" s="18">
        <v>5</v>
      </c>
      <c r="B8" s="18">
        <v>2</v>
      </c>
      <c r="C8" s="18">
        <v>6</v>
      </c>
      <c r="D8" s="18">
        <v>1</v>
      </c>
      <c r="E8" s="18">
        <v>7</v>
      </c>
      <c r="F8" s="18">
        <v>32000</v>
      </c>
      <c r="G8" s="18">
        <v>20000</v>
      </c>
      <c r="H8" s="18">
        <v>1302</v>
      </c>
      <c r="I8" s="18">
        <v>117</v>
      </c>
      <c r="J8" s="10" t="s">
        <v>262</v>
      </c>
      <c r="K8" s="10" t="s">
        <v>263</v>
      </c>
      <c r="L8" s="4" t="s">
        <v>26</v>
      </c>
      <c r="M8" s="4" t="s">
        <v>257</v>
      </c>
    </row>
    <row r="9" ht="30" customHeight="1" spans="1:13">
      <c r="A9" s="19">
        <v>6</v>
      </c>
      <c r="B9" s="19">
        <v>1</v>
      </c>
      <c r="C9" s="19">
        <v>6</v>
      </c>
      <c r="D9" s="19">
        <v>0</v>
      </c>
      <c r="E9" s="19">
        <v>6</v>
      </c>
      <c r="F9" s="19">
        <v>1200</v>
      </c>
      <c r="G9" s="19">
        <v>200</v>
      </c>
      <c r="H9" s="19">
        <v>2</v>
      </c>
      <c r="I9" s="19">
        <v>2</v>
      </c>
      <c r="J9" s="20" t="s">
        <v>264</v>
      </c>
      <c r="K9" s="20" t="s">
        <v>256</v>
      </c>
      <c r="L9" s="4" t="s">
        <v>62</v>
      </c>
      <c r="M9" s="4" t="s">
        <v>265</v>
      </c>
    </row>
    <row r="10" ht="30" customHeight="1" spans="1:13">
      <c r="A10" s="21">
        <v>7</v>
      </c>
      <c r="B10" s="21">
        <v>1</v>
      </c>
      <c r="C10" s="21">
        <v>6</v>
      </c>
      <c r="D10" s="21">
        <v>0</v>
      </c>
      <c r="E10" s="21">
        <v>6</v>
      </c>
      <c r="F10" s="22">
        <v>1800</v>
      </c>
      <c r="G10" s="22">
        <v>300</v>
      </c>
      <c r="H10" s="22">
        <v>4</v>
      </c>
      <c r="I10" s="22">
        <v>3</v>
      </c>
      <c r="J10" s="21" t="s">
        <v>266</v>
      </c>
      <c r="K10" s="21" t="s">
        <v>256</v>
      </c>
      <c r="L10" s="23" t="s">
        <v>62</v>
      </c>
      <c r="M10" s="23" t="s">
        <v>265</v>
      </c>
    </row>
    <row r="11" ht="30" customHeight="1" spans="1:13">
      <c r="A11" s="21">
        <v>8</v>
      </c>
      <c r="B11" s="21">
        <v>1</v>
      </c>
      <c r="C11" s="21">
        <v>5</v>
      </c>
      <c r="D11" s="21">
        <v>0</v>
      </c>
      <c r="E11" s="21">
        <v>5</v>
      </c>
      <c r="F11" s="22">
        <v>3000</v>
      </c>
      <c r="G11" s="22">
        <v>600</v>
      </c>
      <c r="H11" s="22">
        <v>18</v>
      </c>
      <c r="I11" s="22">
        <v>4</v>
      </c>
      <c r="J11" s="21" t="s">
        <v>267</v>
      </c>
      <c r="K11" s="21" t="s">
        <v>256</v>
      </c>
      <c r="L11" s="23" t="s">
        <v>62</v>
      </c>
      <c r="M11" s="23" t="s">
        <v>265</v>
      </c>
    </row>
    <row r="12" ht="30" customHeight="1" spans="1:13">
      <c r="A12" s="21">
        <v>9</v>
      </c>
      <c r="B12" s="21">
        <v>2</v>
      </c>
      <c r="C12" s="21">
        <v>7</v>
      </c>
      <c r="D12" s="21">
        <v>0</v>
      </c>
      <c r="E12" s="21">
        <v>7</v>
      </c>
      <c r="F12" s="22">
        <v>16000</v>
      </c>
      <c r="G12" s="22">
        <v>10000</v>
      </c>
      <c r="H12" s="22">
        <v>242</v>
      </c>
      <c r="I12" s="22">
        <v>19</v>
      </c>
      <c r="J12" s="21" t="s">
        <v>268</v>
      </c>
      <c r="K12" s="21" t="s">
        <v>261</v>
      </c>
      <c r="L12" s="23" t="s">
        <v>62</v>
      </c>
      <c r="M12" s="23" t="s">
        <v>265</v>
      </c>
    </row>
    <row r="13" ht="30" customHeight="1" spans="1:13">
      <c r="A13" s="21">
        <v>10</v>
      </c>
      <c r="B13" s="21">
        <v>2</v>
      </c>
      <c r="C13" s="21">
        <v>6</v>
      </c>
      <c r="D13" s="21">
        <v>1</v>
      </c>
      <c r="E13" s="21">
        <v>7</v>
      </c>
      <c r="F13" s="22">
        <v>32000</v>
      </c>
      <c r="G13" s="22">
        <v>20000</v>
      </c>
      <c r="H13" s="22">
        <v>1302</v>
      </c>
      <c r="I13" s="22">
        <v>117</v>
      </c>
      <c r="J13" s="21" t="s">
        <v>269</v>
      </c>
      <c r="K13" s="21" t="s">
        <v>263</v>
      </c>
      <c r="L13" s="23" t="s">
        <v>62</v>
      </c>
      <c r="M13" s="23" t="s">
        <v>265</v>
      </c>
    </row>
    <row r="14" ht="30" customHeight="1" spans="1:13">
      <c r="A14" s="6">
        <v>11</v>
      </c>
      <c r="B14" s="6">
        <v>3</v>
      </c>
      <c r="C14" s="6">
        <v>7</v>
      </c>
      <c r="D14" s="6">
        <v>0</v>
      </c>
      <c r="E14" s="6">
        <v>7</v>
      </c>
      <c r="F14" s="24">
        <v>320000</v>
      </c>
      <c r="G14" s="24">
        <v>200000</v>
      </c>
      <c r="H14" s="24">
        <v>8002</v>
      </c>
      <c r="I14" s="24">
        <v>95</v>
      </c>
      <c r="J14" s="6" t="s">
        <v>270</v>
      </c>
      <c r="K14" s="6" t="s">
        <v>261</v>
      </c>
      <c r="L14" s="7" t="s">
        <v>82</v>
      </c>
      <c r="M14" s="7" t="s">
        <v>271</v>
      </c>
    </row>
    <row r="15" ht="30" customHeight="1" spans="1:13">
      <c r="A15" s="8">
        <v>12</v>
      </c>
      <c r="B15" s="8">
        <v>2</v>
      </c>
      <c r="C15" s="8">
        <v>7</v>
      </c>
      <c r="D15" s="8">
        <v>0</v>
      </c>
      <c r="E15" s="8">
        <v>7</v>
      </c>
      <c r="F15" s="15">
        <v>384000</v>
      </c>
      <c r="G15" s="15">
        <v>240000</v>
      </c>
      <c r="H15" s="15">
        <v>4802</v>
      </c>
      <c r="I15" s="15">
        <v>107</v>
      </c>
      <c r="J15" s="8" t="s">
        <v>272</v>
      </c>
      <c r="K15" s="8" t="s">
        <v>261</v>
      </c>
      <c r="L15" s="9" t="s">
        <v>96</v>
      </c>
      <c r="M15" s="9" t="s">
        <v>273</v>
      </c>
    </row>
    <row r="16" ht="30" customHeight="1" spans="1:13">
      <c r="A16" s="10">
        <v>13</v>
      </c>
      <c r="B16" s="10">
        <v>3</v>
      </c>
      <c r="C16" s="10">
        <v>7</v>
      </c>
      <c r="D16" s="10">
        <v>0</v>
      </c>
      <c r="E16" s="10">
        <v>7</v>
      </c>
      <c r="F16" s="18">
        <v>840000</v>
      </c>
      <c r="G16" s="18">
        <v>600000</v>
      </c>
      <c r="H16" s="18">
        <v>11202</v>
      </c>
      <c r="I16" s="18">
        <v>143</v>
      </c>
      <c r="J16" s="10" t="s">
        <v>274</v>
      </c>
      <c r="K16" s="10" t="s">
        <v>261</v>
      </c>
      <c r="L16" s="11" t="s">
        <v>96</v>
      </c>
      <c r="M16" s="11" t="s">
        <v>275</v>
      </c>
    </row>
    <row r="17" ht="30" customHeight="1" spans="1:13">
      <c r="A17" s="6">
        <v>14</v>
      </c>
      <c r="B17" s="6">
        <v>2</v>
      </c>
      <c r="C17" s="6">
        <v>7</v>
      </c>
      <c r="D17" s="6">
        <v>0</v>
      </c>
      <c r="E17" s="6">
        <v>7</v>
      </c>
      <c r="F17" s="24">
        <v>640000</v>
      </c>
      <c r="G17" s="24">
        <v>400000</v>
      </c>
      <c r="H17" s="24">
        <v>4002</v>
      </c>
      <c r="I17" s="24">
        <v>167</v>
      </c>
      <c r="J17" s="6" t="s">
        <v>276</v>
      </c>
      <c r="K17" s="6" t="s">
        <v>261</v>
      </c>
      <c r="L17" s="7" t="s">
        <v>96</v>
      </c>
      <c r="M17" s="7" t="s">
        <v>273</v>
      </c>
    </row>
    <row r="18" ht="30" customHeight="1" spans="1:13">
      <c r="A18" s="8">
        <v>15</v>
      </c>
      <c r="B18" s="8">
        <v>1</v>
      </c>
      <c r="C18" s="8">
        <v>7</v>
      </c>
      <c r="D18" s="8">
        <v>0</v>
      </c>
      <c r="E18" s="8">
        <v>7</v>
      </c>
      <c r="F18" s="15">
        <v>560000</v>
      </c>
      <c r="G18" s="15">
        <v>80000</v>
      </c>
      <c r="H18" s="15">
        <v>6002</v>
      </c>
      <c r="I18" s="15">
        <v>95</v>
      </c>
      <c r="J18" s="8" t="s">
        <v>277</v>
      </c>
      <c r="K18" s="8" t="s">
        <v>256</v>
      </c>
      <c r="L18" s="9" t="s">
        <v>96</v>
      </c>
      <c r="M18" s="9" t="s">
        <v>273</v>
      </c>
    </row>
    <row r="19" ht="30" customHeight="1" spans="1:13">
      <c r="A19" s="10">
        <v>16</v>
      </c>
      <c r="B19" s="10">
        <v>3</v>
      </c>
      <c r="C19" s="10">
        <v>7</v>
      </c>
      <c r="D19" s="10">
        <v>0</v>
      </c>
      <c r="E19" s="10">
        <v>7</v>
      </c>
      <c r="F19" s="18">
        <v>1600000</v>
      </c>
      <c r="G19" s="18">
        <v>1000000</v>
      </c>
      <c r="H19" s="18">
        <v>32002</v>
      </c>
      <c r="I19" s="18">
        <v>239</v>
      </c>
      <c r="J19" s="10" t="s">
        <v>278</v>
      </c>
      <c r="K19" s="10" t="s">
        <v>261</v>
      </c>
      <c r="L19" s="11" t="s">
        <v>96</v>
      </c>
      <c r="M19" s="11" t="s">
        <v>275</v>
      </c>
    </row>
    <row r="20" ht="30" customHeight="1" spans="1:13">
      <c r="A20" s="6">
        <v>17</v>
      </c>
      <c r="B20" s="6">
        <v>2</v>
      </c>
      <c r="C20" s="6">
        <v>7</v>
      </c>
      <c r="D20" s="6">
        <v>0</v>
      </c>
      <c r="E20" s="6">
        <v>7</v>
      </c>
      <c r="F20" s="24">
        <v>1920000</v>
      </c>
      <c r="G20" s="24">
        <v>1200000</v>
      </c>
      <c r="H20" s="24">
        <v>40002</v>
      </c>
      <c r="I20" s="24">
        <v>263</v>
      </c>
      <c r="J20" s="6" t="s">
        <v>279</v>
      </c>
      <c r="K20" s="6" t="s">
        <v>261</v>
      </c>
      <c r="L20" s="7" t="s">
        <v>96</v>
      </c>
      <c r="M20" s="7" t="s">
        <v>280</v>
      </c>
    </row>
    <row r="21" ht="30" customHeight="1" spans="1:13">
      <c r="A21" s="3">
        <v>18</v>
      </c>
      <c r="B21" s="3">
        <v>3</v>
      </c>
      <c r="C21" s="3">
        <v>9</v>
      </c>
      <c r="D21" s="3">
        <v>0</v>
      </c>
      <c r="E21" s="3">
        <v>9</v>
      </c>
      <c r="F21" s="25">
        <v>2520000</v>
      </c>
      <c r="G21" s="25">
        <v>1400000</v>
      </c>
      <c r="H21" s="25">
        <v>60002</v>
      </c>
      <c r="I21" s="25">
        <v>287</v>
      </c>
      <c r="J21" s="3" t="s">
        <v>281</v>
      </c>
      <c r="K21" s="3" t="s">
        <v>261</v>
      </c>
      <c r="L21" s="4" t="s">
        <v>159</v>
      </c>
      <c r="M21" s="4" t="s">
        <v>282</v>
      </c>
    </row>
    <row r="22" ht="30" customHeight="1" spans="1:13">
      <c r="A22" s="3">
        <v>19</v>
      </c>
      <c r="B22" s="3">
        <v>2</v>
      </c>
      <c r="C22" s="3">
        <v>10</v>
      </c>
      <c r="D22" s="3">
        <v>0</v>
      </c>
      <c r="E22" s="3">
        <v>10</v>
      </c>
      <c r="F22" s="25">
        <v>3800000</v>
      </c>
      <c r="G22" s="25">
        <v>2000000</v>
      </c>
      <c r="H22" s="25">
        <v>80002</v>
      </c>
      <c r="I22" s="25">
        <v>311</v>
      </c>
      <c r="J22" s="3" t="s">
        <v>283</v>
      </c>
      <c r="K22" s="3" t="s">
        <v>261</v>
      </c>
      <c r="L22" s="4" t="s">
        <v>159</v>
      </c>
      <c r="M22" s="4" t="s">
        <v>284</v>
      </c>
    </row>
    <row r="23" ht="30" customHeight="1" spans="1:13">
      <c r="A23" s="3">
        <v>20</v>
      </c>
      <c r="B23" s="3">
        <v>2</v>
      </c>
      <c r="C23" s="3">
        <v>13</v>
      </c>
      <c r="D23" s="3">
        <v>1</v>
      </c>
      <c r="E23" s="3">
        <v>14</v>
      </c>
      <c r="F23" s="25">
        <v>3860010</v>
      </c>
      <c r="G23" s="25">
        <v>1000010</v>
      </c>
      <c r="H23" s="25">
        <v>121002</v>
      </c>
      <c r="I23" s="25">
        <v>1197</v>
      </c>
      <c r="J23" s="3" t="s">
        <v>285</v>
      </c>
      <c r="K23" s="3" t="s">
        <v>263</v>
      </c>
      <c r="L23" s="4" t="s">
        <v>159</v>
      </c>
      <c r="M23" s="4" t="s">
        <v>286</v>
      </c>
    </row>
    <row r="24" ht="30" customHeight="1" spans="1:13">
      <c r="A24" s="3">
        <v>21</v>
      </c>
      <c r="B24" s="3">
        <v>2</v>
      </c>
      <c r="C24" s="3">
        <v>9</v>
      </c>
      <c r="D24" s="3">
        <v>0</v>
      </c>
      <c r="E24" s="3">
        <v>9</v>
      </c>
      <c r="F24" s="25">
        <v>5400000</v>
      </c>
      <c r="G24" s="25">
        <v>3000000</v>
      </c>
      <c r="H24" s="25">
        <v>104002</v>
      </c>
      <c r="I24" s="25">
        <v>311</v>
      </c>
      <c r="J24" s="3" t="s">
        <v>287</v>
      </c>
      <c r="K24" s="3" t="s">
        <v>261</v>
      </c>
      <c r="L24" s="4" t="s">
        <v>159</v>
      </c>
      <c r="M24" s="4" t="s">
        <v>288</v>
      </c>
    </row>
    <row r="25" ht="30" customHeight="1" spans="1:13">
      <c r="A25" s="3">
        <v>22</v>
      </c>
      <c r="B25" s="3">
        <v>2</v>
      </c>
      <c r="C25" s="3">
        <v>11</v>
      </c>
      <c r="D25" s="3">
        <v>0</v>
      </c>
      <c r="E25" s="3">
        <v>11</v>
      </c>
      <c r="F25" s="25">
        <v>8000000</v>
      </c>
      <c r="G25" s="25">
        <v>4000000</v>
      </c>
      <c r="H25" s="25">
        <v>120002</v>
      </c>
      <c r="I25" s="25">
        <v>323</v>
      </c>
      <c r="J25" s="3" t="s">
        <v>289</v>
      </c>
      <c r="K25" s="3" t="s">
        <v>261</v>
      </c>
      <c r="L25" s="4" t="s">
        <v>159</v>
      </c>
      <c r="M25" s="4" t="s">
        <v>290</v>
      </c>
    </row>
    <row r="26" ht="30" customHeight="1" spans="1:13">
      <c r="A26" s="3">
        <v>23</v>
      </c>
      <c r="B26" s="3">
        <v>2</v>
      </c>
      <c r="C26" s="3">
        <v>10</v>
      </c>
      <c r="D26" s="3">
        <v>0</v>
      </c>
      <c r="E26" s="3">
        <v>10</v>
      </c>
      <c r="F26" s="25">
        <v>9500000</v>
      </c>
      <c r="G26" s="25">
        <v>5000000</v>
      </c>
      <c r="H26" s="25">
        <v>144002</v>
      </c>
      <c r="I26" s="25">
        <v>335</v>
      </c>
      <c r="J26" s="3" t="s">
        <v>291</v>
      </c>
      <c r="K26" s="3" t="s">
        <v>261</v>
      </c>
      <c r="L26" s="4" t="s">
        <v>159</v>
      </c>
      <c r="M26" s="4" t="s">
        <v>284</v>
      </c>
    </row>
    <row r="27" ht="30" customHeight="1" spans="1:13">
      <c r="A27" s="3">
        <v>24</v>
      </c>
      <c r="B27" s="3">
        <v>4</v>
      </c>
      <c r="C27" s="3">
        <v>12</v>
      </c>
      <c r="D27" s="3">
        <v>0</v>
      </c>
      <c r="E27" s="3">
        <v>12</v>
      </c>
      <c r="F27" s="25">
        <v>12900000</v>
      </c>
      <c r="G27" s="25">
        <v>6000000</v>
      </c>
      <c r="H27" s="25">
        <v>160002</v>
      </c>
      <c r="I27" s="25">
        <v>359</v>
      </c>
      <c r="J27" s="3" t="s">
        <v>292</v>
      </c>
      <c r="K27" s="3" t="s">
        <v>261</v>
      </c>
      <c r="L27" s="4" t="s">
        <v>159</v>
      </c>
      <c r="M27" s="4" t="s">
        <v>293</v>
      </c>
    </row>
    <row r="28" ht="34" customHeight="1" spans="1:13">
      <c r="A28" s="12">
        <v>25</v>
      </c>
      <c r="B28" s="12">
        <v>2</v>
      </c>
      <c r="C28" s="12">
        <v>22</v>
      </c>
      <c r="D28" s="12">
        <v>1</v>
      </c>
      <c r="E28" s="12">
        <v>23</v>
      </c>
      <c r="F28" s="26">
        <v>28000010</v>
      </c>
      <c r="G28" s="26">
        <v>6000010</v>
      </c>
      <c r="H28" s="26">
        <v>200002</v>
      </c>
      <c r="I28" s="26">
        <v>1197</v>
      </c>
      <c r="J28" s="12" t="s">
        <v>294</v>
      </c>
      <c r="K28" s="12" t="s">
        <v>295</v>
      </c>
      <c r="L28" s="12" t="s">
        <v>237</v>
      </c>
      <c r="M28" s="12" t="s">
        <v>296</v>
      </c>
    </row>
  </sheetData>
  <mergeCells count="1">
    <mergeCell ref="A1:M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workbookViewId="0">
      <selection activeCell="A1" sqref="A1:D1"/>
    </sheetView>
  </sheetViews>
  <sheetFormatPr defaultColWidth="9" defaultRowHeight="14.25" outlineLevelCol="3"/>
  <cols>
    <col min="1" max="1" width="20" customWidth="1"/>
    <col min="2" max="2" width="42" customWidth="1"/>
    <col min="3" max="3" width="18" customWidth="1"/>
    <col min="4" max="4" width="55" customWidth="1"/>
  </cols>
  <sheetData>
    <row r="1" ht="32" customHeight="1" spans="1:4">
      <c r="A1" s="1" t="s">
        <v>297</v>
      </c>
      <c r="B1" s="1"/>
      <c r="C1" s="1"/>
      <c r="D1" s="1"/>
    </row>
    <row r="3" spans="1:4">
      <c r="A3" s="2" t="s">
        <v>298</v>
      </c>
      <c r="B3" s="2" t="s">
        <v>299</v>
      </c>
      <c r="C3" s="2" t="s">
        <v>300</v>
      </c>
      <c r="D3" s="2" t="s">
        <v>301</v>
      </c>
    </row>
    <row r="4" ht="34" customHeight="1" spans="1:4">
      <c r="A4" s="13" t="s">
        <v>302</v>
      </c>
      <c r="B4" s="4" t="s">
        <v>303</v>
      </c>
      <c r="C4" s="4" t="s">
        <v>304</v>
      </c>
      <c r="D4" s="4" t="s">
        <v>305</v>
      </c>
    </row>
    <row r="5" ht="34" customHeight="1" spans="1:4">
      <c r="A5" s="13" t="s">
        <v>4</v>
      </c>
      <c r="B5" s="4" t="s">
        <v>306</v>
      </c>
      <c r="C5" s="4" t="s">
        <v>304</v>
      </c>
      <c r="D5" s="4" t="s">
        <v>307</v>
      </c>
    </row>
    <row r="6" ht="34" customHeight="1" spans="1:4">
      <c r="A6" s="13" t="s">
        <v>7</v>
      </c>
      <c r="B6" s="4" t="s">
        <v>308</v>
      </c>
      <c r="C6" s="4" t="s">
        <v>304</v>
      </c>
      <c r="D6" s="4" t="s">
        <v>309</v>
      </c>
    </row>
    <row r="7" ht="34" customHeight="1" spans="1:4">
      <c r="A7" s="13" t="s">
        <v>10</v>
      </c>
      <c r="B7" s="4" t="s">
        <v>310</v>
      </c>
      <c r="C7" s="4" t="s">
        <v>304</v>
      </c>
      <c r="D7" s="4" t="s">
        <v>311</v>
      </c>
    </row>
    <row r="8" ht="34" customHeight="1" spans="1:4">
      <c r="A8" s="13" t="s">
        <v>312</v>
      </c>
      <c r="B8" s="4" t="s">
        <v>313</v>
      </c>
      <c r="C8" s="4" t="s">
        <v>314</v>
      </c>
      <c r="D8" s="4" t="s">
        <v>315</v>
      </c>
    </row>
    <row r="9" ht="34" customHeight="1" spans="1:4">
      <c r="A9" s="13" t="s">
        <v>316</v>
      </c>
      <c r="B9" s="4" t="s">
        <v>317</v>
      </c>
      <c r="C9" s="4" t="s">
        <v>27</v>
      </c>
      <c r="D9" s="4" t="s">
        <v>318</v>
      </c>
    </row>
    <row r="10" ht="34" customHeight="1" spans="1:4">
      <c r="A10" s="13" t="s">
        <v>319</v>
      </c>
      <c r="B10" s="4" t="s">
        <v>320</v>
      </c>
      <c r="C10" s="4" t="s">
        <v>321</v>
      </c>
      <c r="D10" s="4" t="s">
        <v>322</v>
      </c>
    </row>
    <row r="11" ht="34" customHeight="1" spans="1:4">
      <c r="A11" s="14" t="s">
        <v>323</v>
      </c>
      <c r="B11" s="4" t="s">
        <v>324</v>
      </c>
      <c r="C11" s="4" t="s">
        <v>325</v>
      </c>
      <c r="D11" s="4" t="s">
        <v>326</v>
      </c>
    </row>
    <row r="12" ht="34" customHeight="1" spans="1:4">
      <c r="A12" s="14" t="s">
        <v>327</v>
      </c>
      <c r="B12" s="4" t="s">
        <v>328</v>
      </c>
      <c r="C12" s="4" t="s">
        <v>329</v>
      </c>
      <c r="D12" s="4" t="s">
        <v>330</v>
      </c>
    </row>
    <row r="13" ht="34" customHeight="1" spans="1:4">
      <c r="A13" s="14" t="s">
        <v>331</v>
      </c>
      <c r="B13" s="4" t="s">
        <v>332</v>
      </c>
      <c r="C13" s="4" t="s">
        <v>304</v>
      </c>
      <c r="D13" s="4" t="s">
        <v>333</v>
      </c>
    </row>
    <row r="14" ht="34" customHeight="1" spans="1:4">
      <c r="A14" s="14" t="s">
        <v>334</v>
      </c>
      <c r="B14" s="4" t="s">
        <v>335</v>
      </c>
      <c r="C14" s="4" t="s">
        <v>27</v>
      </c>
      <c r="D14" s="4" t="s">
        <v>336</v>
      </c>
    </row>
    <row r="15" ht="34" customHeight="1" spans="1:4">
      <c r="A15" s="14" t="s">
        <v>337</v>
      </c>
      <c r="B15" s="4" t="s">
        <v>338</v>
      </c>
      <c r="C15" s="4" t="s">
        <v>27</v>
      </c>
      <c r="D15" s="4" t="s">
        <v>339</v>
      </c>
    </row>
    <row r="16" ht="34" customHeight="1" spans="1:4">
      <c r="A16" s="14" t="s">
        <v>340</v>
      </c>
      <c r="B16" s="4" t="s">
        <v>341</v>
      </c>
      <c r="C16" s="4" t="s">
        <v>314</v>
      </c>
      <c r="D16" s="4" t="s">
        <v>342</v>
      </c>
    </row>
    <row r="17" ht="34" customHeight="1" spans="1:4">
      <c r="A17" s="14" t="s">
        <v>343</v>
      </c>
      <c r="B17" s="4" t="s">
        <v>344</v>
      </c>
      <c r="C17" s="4" t="s">
        <v>27</v>
      </c>
      <c r="D17" s="4" t="s">
        <v>345</v>
      </c>
    </row>
    <row r="18" ht="34" customHeight="1" spans="1:4">
      <c r="A18" s="14" t="s">
        <v>346</v>
      </c>
      <c r="B18" s="4" t="s">
        <v>347</v>
      </c>
      <c r="C18" s="4" t="s">
        <v>27</v>
      </c>
      <c r="D18" s="4" t="s">
        <v>348</v>
      </c>
    </row>
    <row r="19" ht="34" customHeight="1" spans="1:4">
      <c r="A19" s="14" t="s">
        <v>349</v>
      </c>
      <c r="B19" s="4" t="s">
        <v>350</v>
      </c>
      <c r="C19" s="4" t="s">
        <v>314</v>
      </c>
      <c r="D19" s="4" t="s">
        <v>351</v>
      </c>
    </row>
    <row r="20" ht="34" customHeight="1" spans="1:4">
      <c r="A20" s="14" t="s">
        <v>352</v>
      </c>
      <c r="B20" s="4" t="s">
        <v>353</v>
      </c>
      <c r="C20" s="4" t="s">
        <v>27</v>
      </c>
      <c r="D20" s="4" t="s">
        <v>354</v>
      </c>
    </row>
    <row r="21" ht="34" customHeight="1" spans="1:4">
      <c r="A21" s="14" t="s">
        <v>355</v>
      </c>
      <c r="B21" s="4" t="s">
        <v>356</v>
      </c>
      <c r="C21" s="4" t="s">
        <v>304</v>
      </c>
      <c r="D21" s="4" t="s">
        <v>357</v>
      </c>
    </row>
    <row r="22" ht="34" customHeight="1" spans="1:4">
      <c r="A22" s="14" t="s">
        <v>358</v>
      </c>
      <c r="B22" s="4" t="s">
        <v>359</v>
      </c>
      <c r="C22" s="4" t="s">
        <v>360</v>
      </c>
      <c r="D22" s="4" t="s">
        <v>361</v>
      </c>
    </row>
    <row r="23" ht="34" customHeight="1" spans="1:4">
      <c r="A23" s="4" t="s">
        <v>362</v>
      </c>
      <c r="B23" s="4" t="s">
        <v>363</v>
      </c>
      <c r="C23" s="4" t="s">
        <v>63</v>
      </c>
      <c r="D23" s="4" t="s">
        <v>364</v>
      </c>
    </row>
    <row r="24" ht="34" customHeight="1" spans="1:4">
      <c r="A24" s="4" t="s">
        <v>365</v>
      </c>
      <c r="B24" s="4" t="s">
        <v>366</v>
      </c>
      <c r="C24" s="4" t="s">
        <v>329</v>
      </c>
      <c r="D24" s="4" t="s">
        <v>367</v>
      </c>
    </row>
    <row r="25" ht="34" customHeight="1" spans="1:4">
      <c r="A25" s="4" t="s">
        <v>358</v>
      </c>
      <c r="B25" s="4" t="s">
        <v>368</v>
      </c>
      <c r="C25" s="4" t="s">
        <v>27</v>
      </c>
      <c r="D25" s="4" t="s">
        <v>369</v>
      </c>
    </row>
    <row r="26" ht="34" customHeight="1" spans="1:4">
      <c r="A26" s="4" t="s">
        <v>370</v>
      </c>
      <c r="B26" s="4" t="s">
        <v>371</v>
      </c>
      <c r="C26" s="4" t="s">
        <v>314</v>
      </c>
      <c r="D26" s="4" t="s">
        <v>372</v>
      </c>
    </row>
    <row r="27" ht="34" customHeight="1" spans="1:4">
      <c r="A27" s="4" t="s">
        <v>373</v>
      </c>
      <c r="B27" s="4" t="s">
        <v>374</v>
      </c>
      <c r="C27" s="4" t="s">
        <v>27</v>
      </c>
      <c r="D27" s="4" t="s">
        <v>375</v>
      </c>
    </row>
    <row r="28" ht="34" customHeight="1" spans="1:4">
      <c r="A28" s="4" t="s">
        <v>376</v>
      </c>
      <c r="B28" s="4" t="s">
        <v>377</v>
      </c>
      <c r="C28" s="4" t="s">
        <v>314</v>
      </c>
      <c r="D28" s="4" t="s">
        <v>378</v>
      </c>
    </row>
    <row r="29" ht="34" customHeight="1" spans="1:4">
      <c r="A29" s="4" t="s">
        <v>379</v>
      </c>
      <c r="B29" s="4" t="s">
        <v>380</v>
      </c>
      <c r="C29" s="4" t="s">
        <v>27</v>
      </c>
      <c r="D29" s="4" t="s">
        <v>381</v>
      </c>
    </row>
    <row r="30" ht="34" customHeight="1" spans="1:4">
      <c r="A30" s="4" t="s">
        <v>382</v>
      </c>
      <c r="B30" s="4" t="s">
        <v>383</v>
      </c>
      <c r="C30" s="4" t="s">
        <v>27</v>
      </c>
      <c r="D30" s="4" t="s">
        <v>384</v>
      </c>
    </row>
    <row r="31" ht="34" customHeight="1" spans="1:4">
      <c r="A31" s="4" t="s">
        <v>385</v>
      </c>
      <c r="B31" s="4" t="s">
        <v>386</v>
      </c>
      <c r="C31" s="4" t="s">
        <v>27</v>
      </c>
      <c r="D31" s="4" t="s">
        <v>387</v>
      </c>
    </row>
    <row r="32" ht="34" customHeight="1" spans="1:4">
      <c r="A32" s="4" t="s">
        <v>388</v>
      </c>
      <c r="B32" s="4" t="s">
        <v>389</v>
      </c>
      <c r="C32" s="4" t="s">
        <v>27</v>
      </c>
      <c r="D32" s="4" t="s">
        <v>390</v>
      </c>
    </row>
    <row r="33" ht="34" customHeight="1" spans="1:4">
      <c r="A33" s="4" t="s">
        <v>391</v>
      </c>
      <c r="B33" s="4" t="s">
        <v>392</v>
      </c>
      <c r="C33" s="4" t="s">
        <v>314</v>
      </c>
      <c r="D33" s="4" t="s">
        <v>393</v>
      </c>
    </row>
    <row r="34" ht="34" customHeight="1" spans="1:4">
      <c r="A34" s="4" t="s">
        <v>394</v>
      </c>
      <c r="B34" s="4" t="s">
        <v>395</v>
      </c>
      <c r="C34" s="4" t="s">
        <v>27</v>
      </c>
      <c r="D34" s="4" t="s">
        <v>396</v>
      </c>
    </row>
    <row r="35" spans="1:4">
      <c r="A35" t="s">
        <v>397</v>
      </c>
      <c r="B35" t="s">
        <v>398</v>
      </c>
      <c r="C35" t="s">
        <v>329</v>
      </c>
      <c r="D35" t="s">
        <v>367</v>
      </c>
    </row>
    <row r="36" spans="1:4">
      <c r="A36" t="s">
        <v>399</v>
      </c>
      <c r="B36" t="s">
        <v>400</v>
      </c>
      <c r="C36" t="s">
        <v>27</v>
      </c>
      <c r="D36" t="s">
        <v>401</v>
      </c>
    </row>
    <row r="37" spans="1:4">
      <c r="A37" t="s">
        <v>402</v>
      </c>
      <c r="B37" t="s">
        <v>403</v>
      </c>
      <c r="C37" t="s">
        <v>27</v>
      </c>
      <c r="D37" t="s">
        <v>404</v>
      </c>
    </row>
    <row r="38" spans="1:4">
      <c r="A38" t="s">
        <v>405</v>
      </c>
      <c r="B38" t="s">
        <v>406</v>
      </c>
      <c r="C38" t="s">
        <v>407</v>
      </c>
      <c r="D38" t="s">
        <v>408</v>
      </c>
    </row>
    <row r="39" spans="1:4">
      <c r="A39" t="s">
        <v>409</v>
      </c>
      <c r="B39" t="s">
        <v>410</v>
      </c>
      <c r="C39" t="s">
        <v>27</v>
      </c>
      <c r="D39" t="s">
        <v>411</v>
      </c>
    </row>
  </sheetData>
  <mergeCells count="1">
    <mergeCell ref="A1:D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A1" sqref="A1:J1"/>
    </sheetView>
  </sheetViews>
  <sheetFormatPr defaultColWidth="9" defaultRowHeight="14.25"/>
  <cols>
    <col min="1" max="1" width="20" customWidth="1"/>
    <col min="2" max="2" width="13" customWidth="1"/>
    <col min="3" max="3" width="40" customWidth="1"/>
    <col min="4" max="4" width="15" customWidth="1"/>
    <col min="5" max="5" width="20" customWidth="1"/>
    <col min="6" max="6" width="11" customWidth="1"/>
    <col min="7" max="7" width="24" customWidth="1"/>
    <col min="8" max="8" width="18" customWidth="1"/>
    <col min="9" max="9" width="28" customWidth="1"/>
    <col min="10" max="10" width="48" customWidth="1"/>
  </cols>
  <sheetData>
    <row r="1" ht="28" customHeight="1" spans="1:10">
      <c r="A1" s="1" t="s">
        <v>412</v>
      </c>
      <c r="B1" s="1"/>
      <c r="C1" s="1"/>
      <c r="D1" s="1"/>
      <c r="E1" s="1"/>
      <c r="F1" s="1"/>
      <c r="G1" s="1"/>
      <c r="H1" s="1"/>
      <c r="I1" s="1"/>
      <c r="J1" s="1"/>
    </row>
    <row r="3" ht="28" customHeight="1" spans="1:10">
      <c r="A3" s="2" t="s">
        <v>16</v>
      </c>
      <c r="B3" s="2" t="s">
        <v>413</v>
      </c>
      <c r="C3" s="2" t="s">
        <v>414</v>
      </c>
      <c r="D3" s="2" t="s">
        <v>415</v>
      </c>
      <c r="E3" s="2" t="s">
        <v>416</v>
      </c>
      <c r="F3" s="2" t="s">
        <v>417</v>
      </c>
    </row>
    <row r="4" spans="1:10">
      <c r="A4" s="3" t="s">
        <v>82</v>
      </c>
      <c r="B4" s="3" t="s">
        <v>418</v>
      </c>
      <c r="C4" s="3" t="s">
        <v>419</v>
      </c>
      <c r="D4" s="3" t="s">
        <v>420</v>
      </c>
      <c r="E4" s="3" t="s">
        <v>421</v>
      </c>
      <c r="F4" s="3" t="s">
        <v>422</v>
      </c>
    </row>
    <row r="5" spans="1:10">
      <c r="A5" s="3" t="s">
        <v>96</v>
      </c>
      <c r="B5" s="3" t="s">
        <v>423</v>
      </c>
      <c r="C5" s="3" t="s">
        <v>424</v>
      </c>
      <c r="D5" s="3" t="s">
        <v>425</v>
      </c>
      <c r="E5" s="3" t="s">
        <v>421</v>
      </c>
      <c r="F5" s="3" t="s">
        <v>422</v>
      </c>
    </row>
    <row r="6" spans="1:10">
      <c r="A6" s="4" t="s">
        <v>159</v>
      </c>
      <c r="B6" s="4" t="s">
        <v>426</v>
      </c>
      <c r="C6" s="4" t="s">
        <v>424</v>
      </c>
      <c r="D6" s="4" t="s">
        <v>427</v>
      </c>
      <c r="E6" s="4" t="s">
        <v>421</v>
      </c>
      <c r="F6" s="4" t="s">
        <v>422</v>
      </c>
    </row>
    <row r="7" ht="20" customHeight="1" spans="1:10">
      <c r="A7" s="5" t="s">
        <v>237</v>
      </c>
      <c r="B7" s="5" t="s">
        <v>428</v>
      </c>
      <c r="C7" s="5" t="s">
        <v>424</v>
      </c>
      <c r="D7" s="5" t="s">
        <v>427</v>
      </c>
      <c r="E7" s="5" t="s">
        <v>421</v>
      </c>
      <c r="F7" s="5" t="s">
        <v>422</v>
      </c>
      <c r="G7" s="5"/>
      <c r="H7" s="5"/>
      <c r="I7" s="5"/>
      <c r="J7" s="5"/>
    </row>
    <row r="8" ht="36" customHeight="1" spans="1:10">
      <c r="A8" s="6" t="s">
        <v>3</v>
      </c>
      <c r="B8" s="6" t="s">
        <v>429</v>
      </c>
      <c r="C8" s="7" t="s">
        <v>430</v>
      </c>
      <c r="D8" s="6" t="s">
        <v>431</v>
      </c>
      <c r="E8" s="6" t="s">
        <v>432</v>
      </c>
      <c r="F8" s="6" t="s">
        <v>433</v>
      </c>
      <c r="G8" s="6" t="s">
        <v>16</v>
      </c>
      <c r="H8" s="6" t="s">
        <v>254</v>
      </c>
      <c r="I8" s="6" t="s">
        <v>434</v>
      </c>
      <c r="J8" s="7" t="s">
        <v>18</v>
      </c>
    </row>
    <row r="9" ht="36" customHeight="1" spans="1:10">
      <c r="A9" s="8">
        <v>11</v>
      </c>
      <c r="B9" s="8" t="s">
        <v>435</v>
      </c>
      <c r="C9" s="9" t="s">
        <v>436</v>
      </c>
      <c r="D9" s="8" t="s">
        <v>81</v>
      </c>
      <c r="E9" s="8" t="s">
        <v>437</v>
      </c>
      <c r="F9" s="8">
        <v>7</v>
      </c>
      <c r="G9" s="8" t="s">
        <v>82</v>
      </c>
      <c r="H9" s="8" t="s">
        <v>261</v>
      </c>
      <c r="I9" s="8" t="s">
        <v>438</v>
      </c>
      <c r="J9" s="9" t="s">
        <v>439</v>
      </c>
    </row>
    <row r="10" ht="36" customHeight="1" spans="1:10">
      <c r="A10" s="10">
        <v>12</v>
      </c>
      <c r="B10" s="10" t="s">
        <v>24</v>
      </c>
      <c r="C10" s="11" t="s">
        <v>440</v>
      </c>
      <c r="D10" s="10" t="s">
        <v>25</v>
      </c>
      <c r="E10" s="10" t="s">
        <v>441</v>
      </c>
      <c r="F10" s="10">
        <v>7</v>
      </c>
      <c r="G10" s="10" t="s">
        <v>96</v>
      </c>
      <c r="H10" s="10" t="s">
        <v>261</v>
      </c>
      <c r="I10" s="10" t="s">
        <v>442</v>
      </c>
      <c r="J10" s="11" t="s">
        <v>443</v>
      </c>
    </row>
    <row r="11" ht="36" customHeight="1" spans="1:10">
      <c r="A11" s="6">
        <v>13</v>
      </c>
      <c r="B11" s="6" t="s">
        <v>32</v>
      </c>
      <c r="C11" s="7" t="s">
        <v>444</v>
      </c>
      <c r="D11" s="6" t="s">
        <v>106</v>
      </c>
      <c r="E11" s="6" t="s">
        <v>445</v>
      </c>
      <c r="F11" s="6">
        <v>7</v>
      </c>
      <c r="G11" s="6" t="s">
        <v>96</v>
      </c>
      <c r="H11" s="6" t="s">
        <v>261</v>
      </c>
      <c r="I11" s="6" t="s">
        <v>446</v>
      </c>
      <c r="J11" s="7" t="s">
        <v>275</v>
      </c>
    </row>
    <row r="12" ht="36" customHeight="1" spans="1:10">
      <c r="A12" s="8">
        <v>14</v>
      </c>
      <c r="B12" s="8" t="s">
        <v>37</v>
      </c>
      <c r="C12" s="9" t="s">
        <v>447</v>
      </c>
      <c r="D12" s="8" t="s">
        <v>38</v>
      </c>
      <c r="E12" s="8" t="s">
        <v>448</v>
      </c>
      <c r="F12" s="8">
        <v>7</v>
      </c>
      <c r="G12" s="8" t="s">
        <v>96</v>
      </c>
      <c r="H12" s="8" t="s">
        <v>261</v>
      </c>
      <c r="I12" s="8" t="s">
        <v>446</v>
      </c>
      <c r="J12" s="9" t="s">
        <v>443</v>
      </c>
    </row>
    <row r="13" ht="36" customHeight="1" spans="1:10">
      <c r="A13" s="10">
        <v>15</v>
      </c>
      <c r="B13" s="10" t="s">
        <v>44</v>
      </c>
      <c r="C13" s="11" t="s">
        <v>449</v>
      </c>
      <c r="D13" s="10" t="s">
        <v>128</v>
      </c>
      <c r="E13" s="10" t="s">
        <v>450</v>
      </c>
      <c r="F13" s="10">
        <v>7</v>
      </c>
      <c r="G13" s="10" t="s">
        <v>96</v>
      </c>
      <c r="H13" s="10" t="s">
        <v>256</v>
      </c>
      <c r="I13" s="10" t="s">
        <v>446</v>
      </c>
      <c r="J13" s="11" t="s">
        <v>451</v>
      </c>
    </row>
    <row r="14" ht="36" customHeight="1" spans="1:10">
      <c r="A14" s="6">
        <v>16</v>
      </c>
      <c r="B14" s="6" t="s">
        <v>59</v>
      </c>
      <c r="C14" s="7" t="s">
        <v>452</v>
      </c>
      <c r="D14" s="6" t="s">
        <v>134</v>
      </c>
      <c r="E14" s="6" t="s">
        <v>453</v>
      </c>
      <c r="F14" s="6">
        <v>7</v>
      </c>
      <c r="G14" s="6" t="s">
        <v>96</v>
      </c>
      <c r="H14" s="6" t="s">
        <v>261</v>
      </c>
      <c r="I14" s="6" t="s">
        <v>446</v>
      </c>
      <c r="J14" s="7" t="s">
        <v>275</v>
      </c>
    </row>
    <row r="15" ht="36" customHeight="1" spans="1:10">
      <c r="A15" s="3">
        <v>17</v>
      </c>
      <c r="B15" s="3" t="s">
        <v>454</v>
      </c>
      <c r="C15" s="4" t="s">
        <v>455</v>
      </c>
      <c r="D15" s="3" t="s">
        <v>148</v>
      </c>
      <c r="E15" s="3" t="s">
        <v>456</v>
      </c>
      <c r="F15" s="3">
        <v>7</v>
      </c>
      <c r="G15" s="3" t="s">
        <v>96</v>
      </c>
      <c r="H15" s="3" t="s">
        <v>261</v>
      </c>
      <c r="I15" s="3" t="s">
        <v>457</v>
      </c>
      <c r="J15" s="4" t="s">
        <v>458</v>
      </c>
    </row>
    <row r="16" ht="36" customHeight="1" spans="1:10">
      <c r="A16" s="3">
        <v>18</v>
      </c>
      <c r="B16" s="3" t="s">
        <v>25</v>
      </c>
      <c r="C16" s="4" t="s">
        <v>459</v>
      </c>
      <c r="D16" s="3" t="s">
        <v>158</v>
      </c>
      <c r="E16" s="3" t="s">
        <v>460</v>
      </c>
      <c r="F16" s="3">
        <v>9</v>
      </c>
      <c r="G16" s="3" t="s">
        <v>159</v>
      </c>
      <c r="H16" s="3" t="s">
        <v>261</v>
      </c>
      <c r="I16" s="3" t="s">
        <v>461</v>
      </c>
      <c r="J16" s="4" t="s">
        <v>462</v>
      </c>
    </row>
    <row r="17" ht="36" customHeight="1" spans="1:10">
      <c r="A17" s="3">
        <v>19</v>
      </c>
      <c r="B17" s="3" t="s">
        <v>33</v>
      </c>
      <c r="C17" s="4" t="s">
        <v>463</v>
      </c>
      <c r="D17" s="3" t="s">
        <v>173</v>
      </c>
      <c r="E17" s="3" t="s">
        <v>445</v>
      </c>
      <c r="F17" s="3">
        <v>10</v>
      </c>
      <c r="G17" s="3" t="s">
        <v>159</v>
      </c>
      <c r="H17" s="3" t="s">
        <v>261</v>
      </c>
      <c r="I17" s="3" t="s">
        <v>446</v>
      </c>
      <c r="J17" s="4" t="s">
        <v>464</v>
      </c>
    </row>
    <row r="18" ht="36" customHeight="1" spans="1:10">
      <c r="A18" s="3">
        <v>20</v>
      </c>
      <c r="B18" s="3" t="s">
        <v>188</v>
      </c>
      <c r="C18" s="4" t="s">
        <v>465</v>
      </c>
      <c r="D18" s="3" t="s">
        <v>183</v>
      </c>
      <c r="E18" s="3" t="s">
        <v>466</v>
      </c>
      <c r="F18" s="3">
        <v>13</v>
      </c>
      <c r="G18" s="3" t="s">
        <v>159</v>
      </c>
      <c r="H18" s="3" t="s">
        <v>263</v>
      </c>
      <c r="I18" s="3" t="s">
        <v>446</v>
      </c>
      <c r="J18" s="4" t="s">
        <v>467</v>
      </c>
    </row>
    <row r="19" ht="36" customHeight="1" spans="1:10">
      <c r="A19" s="3">
        <v>21</v>
      </c>
      <c r="B19" s="3" t="s">
        <v>44</v>
      </c>
      <c r="C19" s="4" t="s">
        <v>468</v>
      </c>
      <c r="D19" s="3" t="s">
        <v>128</v>
      </c>
      <c r="E19" s="3" t="s">
        <v>469</v>
      </c>
      <c r="F19" s="3">
        <v>9</v>
      </c>
      <c r="G19" s="3" t="s">
        <v>159</v>
      </c>
      <c r="H19" s="3" t="s">
        <v>261</v>
      </c>
      <c r="I19" s="3" t="s">
        <v>446</v>
      </c>
      <c r="J19" s="4" t="s">
        <v>470</v>
      </c>
    </row>
    <row r="20" ht="36" customHeight="1" spans="1:10">
      <c r="A20" s="3">
        <v>22</v>
      </c>
      <c r="B20" s="3" t="s">
        <v>52</v>
      </c>
      <c r="C20" s="4" t="s">
        <v>471</v>
      </c>
      <c r="D20" s="3" t="s">
        <v>203</v>
      </c>
      <c r="E20" s="3" t="s">
        <v>472</v>
      </c>
      <c r="F20" s="3">
        <v>11</v>
      </c>
      <c r="G20" s="3" t="s">
        <v>159</v>
      </c>
      <c r="H20" s="3" t="s">
        <v>261</v>
      </c>
      <c r="I20" s="3" t="s">
        <v>446</v>
      </c>
      <c r="J20" s="4" t="s">
        <v>473</v>
      </c>
    </row>
    <row r="21" ht="36" customHeight="1" spans="1:10">
      <c r="A21" s="3">
        <v>23</v>
      </c>
      <c r="B21" s="3" t="s">
        <v>148</v>
      </c>
      <c r="C21" s="4" t="s">
        <v>474</v>
      </c>
      <c r="D21" s="3" t="s">
        <v>212</v>
      </c>
      <c r="E21" s="3" t="s">
        <v>475</v>
      </c>
      <c r="F21" s="3">
        <v>10</v>
      </c>
      <c r="G21" s="3" t="s">
        <v>159</v>
      </c>
      <c r="H21" s="3" t="s">
        <v>261</v>
      </c>
      <c r="I21" s="3" t="s">
        <v>446</v>
      </c>
      <c r="J21" s="4" t="s">
        <v>464</v>
      </c>
    </row>
    <row r="22" ht="38" customHeight="1" spans="1:10">
      <c r="A22" s="12">
        <v>24</v>
      </c>
      <c r="B22" s="12" t="s">
        <v>476</v>
      </c>
      <c r="C22" s="12" t="s">
        <v>477</v>
      </c>
      <c r="D22" s="12" t="s">
        <v>220</v>
      </c>
      <c r="E22" s="12" t="s">
        <v>478</v>
      </c>
      <c r="F22" s="12">
        <v>12</v>
      </c>
      <c r="G22" s="12" t="s">
        <v>159</v>
      </c>
      <c r="H22" s="12" t="s">
        <v>261</v>
      </c>
      <c r="I22" s="12" t="s">
        <v>479</v>
      </c>
      <c r="J22" s="12" t="s">
        <v>480</v>
      </c>
    </row>
    <row r="23" ht="38" customHeight="1" spans="1:10">
      <c r="A23" s="12">
        <v>25</v>
      </c>
      <c r="B23" s="12" t="s">
        <v>242</v>
      </c>
      <c r="C23" s="12" t="s">
        <v>481</v>
      </c>
      <c r="D23" s="12" t="s">
        <v>482</v>
      </c>
      <c r="E23" s="12" t="s">
        <v>483</v>
      </c>
      <c r="F23" s="12">
        <v>23</v>
      </c>
      <c r="G23" s="12" t="s">
        <v>237</v>
      </c>
      <c r="H23" s="12" t="s">
        <v>295</v>
      </c>
      <c r="I23" s="12" t="s">
        <v>484</v>
      </c>
      <c r="J23" s="12" t="s">
        <v>485</v>
      </c>
    </row>
  </sheetData>
  <mergeCells count="1">
    <mergeCell ref="A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怪物数据明细</vt:lpstr>
      <vt:lpstr>波次汇总</vt:lpstr>
      <vt:lpstr>提取说明</vt:lpstr>
      <vt:lpstr>录像时间轴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臧孝飞</cp:lastModifiedBy>
  <dcterms:created xsi:type="dcterms:W3CDTF">2026-07-19T21:30:20Z</dcterms:created>
  <dcterms:modified xsi:type="dcterms:W3CDTF">2026-07-19T21:31:21Z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72B979558486424595A444C4CFD37EC4_12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