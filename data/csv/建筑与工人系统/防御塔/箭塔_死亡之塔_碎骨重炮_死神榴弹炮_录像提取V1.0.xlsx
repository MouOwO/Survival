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9e40dc66341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升级线总表" sheetId="1" r:id="R87b31f6a1d81486d"/>
    <x:sheet xmlns:r="http://schemas.openxmlformats.org/officeDocument/2006/relationships" name="技能文本" sheetId="2" r:id="R781ca053a98646a3"/>
    <x:sheet xmlns:r="http://schemas.openxmlformats.org/officeDocument/2006/relationships" name="提取说明" sheetId="3" r:id="Rf38b53790a3342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F1F1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FF2CC"/>
      </x:patternFill>
    </x:fill>
    <x:fill>
      <x:patternFill patternType="solid">
        <x:fgColor rgb="FF7030A0"/>
      </x:patternFill>
    </x:fill>
    <x:fill>
      <x:patternFill patternType="solid">
        <x:fgColor rgb="FF4C2A70"/>
      </x:patternFill>
    </x:fill>
    <x:fill>
      <x:patternFill patternType="solid">
        <x:fgColor rgb="FFF4ECF7"/>
      </x:patternFill>
    </x:fill>
    <x:fill>
      <x:patternFill patternType="solid">
        <x:fgColor rgb="FFFFFFFF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</x:fills>
  <x:borders count="2">
    <x:border/>
    <x:border/>
  </x:borders>
  <x:cellStyleXfs count="1">
    <x:xf numFmtId="0" fontId="0" fillId="0" borderId="0"/>
  </x:cellStyleXfs>
  <x:cellXfs count="11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horizontal="center" vertical="center" wrapText="1"/>
    </x:xf>
    <x:xf numFmtId="200" fontId="0" fillId="5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horizontal="center" vertical="center" wrapText="1"/>
    </x:xf>
    <x:xf numFmtId="200" fontId="0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horizontal="center" vertical="center" wrapText="1"/>
    </x:xf>
    <x:xf numFmtId="200" fontId="0" fillId="6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horizontal="center" vertical="center" wrapText="1"/>
    </x:xf>
    <x:xf numFmtId="200" fontId="0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horizontal="center" vertical="center" wrapText="1"/>
    </x:xf>
    <x:xf numFmtId="200" fontId="0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horizontal="center" vertical="center" wrapText="1"/>
    </x:xf>
    <x:xf numFmtId="200" fontId="0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horizontal="center" vertical="center" wrapText="1"/>
    </x:xf>
    <x:xf numFmtId="200" fontId="0" fillId="8" borderId="1" xfId="0" applyNumberFormat="1" applyFont="1" applyFill="1" applyBorder="1" applyAlignment="1">
      <x:alignment horizontal="center"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wrapText="1"/>
    </x:xf>
    <x:xf numFmtId="0" fontId="4" fillId="9" borderId="1" xfId="0" applyNumberFormat="1" applyFont="1" applyFill="1" applyBorder="1" applyAlignment="1">
      <x:alignment horizont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200" fontId="4" fillId="9" borderId="0" xfId="0" applyNumberFormat="1" applyFont="1" applyFill="1" applyBorder="1" applyAlignment="1">
      <x:alignment horizontal="center" vertical="center" wrapText="1"/>
    </x:xf>
    <x:xf numFmtId="200" fontId="4" fillId="9" borderId="1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0" fillId="10" borderId="1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horizontal="center"/>
    </x:xf>
    <x:xf numFmtId="0" fontId="1" fillId="10" borderId="1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horizontal="center" wrapText="1"/>
    </x:xf>
    <x:xf numFmtId="0" fontId="3" fillId="11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/>
    <x:xf numFmtId="0" fontId="3" fillId="11" borderId="1" xfId="0" applyNumberFormat="1" applyFont="1" applyFill="1" applyBorder="1"/>
    <x:xf numFmtId="0" fontId="3" fillId="11" borderId="1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horizontal="center" wrapText="1"/>
    </x:xf>
    <x:xf numFmtId="0" fontId="3" fillId="11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2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 applyAlignment="1">
      <x:alignment vertical="top" wrapText="1"/>
    </x:xf>
    <x:xf numFmtId="0" fontId="0" fillId="13" borderId="1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0" fillId="14" borderId="1" xfId="0" applyNumberFormat="1" applyFont="1" applyFill="1" applyBorder="1"/>
    <x:xf numFmtId="0" fontId="1" fillId="14" borderId="1" xfId="0" applyNumberFormat="1" applyFont="1" applyFill="1" applyBorder="1"/>
    <x:xf numFmtId="0" fontId="1" fillId="14" borderId="1" xfId="0" applyNumberFormat="1" applyFont="1" applyFill="1" applyBorder="1" applyAlignment="1">
      <x:alignment horizontal="center"/>
    </x:xf>
    <x:xf numFmtId="0" fontId="1" fillId="14" borderId="1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horizontal="center"/>
    </x:xf>
    <x:xf numFmtId="0" fontId="3" fillId="15" borderId="0" xfId="0" applyNumberFormat="1" applyFont="1" applyFill="1" applyBorder="1" applyAlignment="1">
      <x:alignment horizontal="center" vertical="center"/>
    </x:xf>
    <x:xf numFmtId="0" fontId="0" fillId="15" borderId="1" xfId="0" applyNumberFormat="1" applyFont="1" applyFill="1" applyBorder="1"/>
    <x:xf numFmtId="0" fontId="3" fillId="15" borderId="1" xfId="0" applyNumberFormat="1" applyFont="1" applyFill="1" applyBorder="1"/>
    <x:xf numFmtId="0" fontId="3" fillId="15" borderId="1" xfId="0" applyNumberFormat="1" applyFont="1" applyFill="1" applyBorder="1" applyAlignment="1">
      <x:alignment horizontal="center"/>
    </x:xf>
    <x:xf numFmtId="0" fontId="3" fillId="15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35679beb39480d" /><Relationship Type="http://schemas.openxmlformats.org/officeDocument/2006/relationships/theme" Target="/xl/theme/theme1.xml" Id="R39b222db16e74729" /><Relationship Type="http://schemas.openxmlformats.org/officeDocument/2006/relationships/sharedStrings" Target="/xl/sharedStrings.xml" Id="R32b4e534d22f4ad8" /><Relationship Type="http://schemas.openxmlformats.org/officeDocument/2006/relationships/worksheet" Target="/xl/worksheets/sheet1.xml" Id="R87b31f6a1d81486d" /><Relationship Type="http://schemas.openxmlformats.org/officeDocument/2006/relationships/worksheet" Target="/xl/worksheets/sheet2.xml" Id="R781ca053a98646a3" /><Relationship Type="http://schemas.openxmlformats.org/officeDocument/2006/relationships/worksheet" Target="/xl/worksheets/sheet3.xml" Id="Rf38b53790a3342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9" hidden="0" customWidth="1"/>
    <x:col min="4" max="4" width="23" hidden="0" customWidth="1"/>
    <x:col min="5" max="5" width="16" hidden="0" customWidth="1"/>
    <x:col min="6" max="6" width="17" hidden="0" customWidth="1"/>
    <x:col min="7" max="7" width="17" hidden="0" customWidth="1"/>
    <x:col min="8" max="8" width="17" hidden="0" customWidth="1"/>
    <x:col min="9" max="9" width="12" hidden="0" customWidth="1"/>
    <x:col min="10" max="10" width="16" hidden="0" customWidth="1"/>
    <x:col min="11" max="11" width="16" hidden="0" customWidth="1"/>
    <x:col min="12" max="12" width="46" hidden="0" customWidth="1"/>
    <x:col min="13" max="13" width="11" hidden="0" customWidth="1"/>
    <x:col min="14" max="14" width="38" hidden="0" customWidth="1"/>
  </x:cols>
  <x:sheetData>
    <x:row r="1" ht="30" customHeight="1">
      <x:c r="A1" s="5" t="str">
        <x:v>箭塔 → 死亡之塔 → 碎骨重炮 → 死神榴弹炮：录像数值提取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5" customHeight="1">
      <x:c r="A2" s="12" t="str">
        <x:v>口径说明：金币/木材为“升级到本级”的成本；攻击力取升级完成后的首个稳定读数。同级停留期间面板没有出现每秒+4的跳变，因此表内不计入该时间成长。</x:v>
      </x:c>
      <x:c r="B2" s="12" t="str"/>
      <x:c r="C2" s="12" t="str"/>
      <x:c r="D2" s="12" t="str"/>
      <x:c r="E2" s="12" t="str"/>
      <x:c r="F2" s="12" t="str"/>
      <x:c r="G2" s="12" t="str"/>
      <x:c r="H2" s="12" t="str"/>
      <x:c r="I2" s="12" t="str"/>
      <x:c r="J2" s="12" t="str"/>
      <x:c r="K2" s="12" t="str"/>
      <x:c r="L2" s="12" t="str"/>
      <x:c r="M2" s="12" t="str"/>
      <x:c r="N2" s="12" t="str"/>
    </x:row>
    <x:row r="4" ht="32" customHeight="1">
      <x:c r="A4" s="20" t="str">
        <x:v>序号</x:v>
      </x:c>
      <x:c r="B4" s="20" t="str">
        <x:v>阶段</x:v>
      </x:c>
      <x:c r="C4" s="20" t="str">
        <x:v>稀有度</x:v>
      </x:c>
      <x:c r="D4" s="20" t="str">
        <x:v>等级/名称</x:v>
      </x:c>
      <x:c r="E4" s="20" t="str">
        <x:v>录像攻击力</x:v>
      </x:c>
      <x:c r="F4" s="20" t="str">
        <x:v>较上一级提升</x:v>
      </x:c>
      <x:c r="G4" s="20" t="str">
        <x:v>升到本级金币</x:v>
      </x:c>
      <x:c r="H4" s="20" t="str">
        <x:v>升到本级木材</x:v>
      </x:c>
      <x:c r="I4" s="20" t="str">
        <x:v>人口增量</x:v>
      </x:c>
      <x:c r="J4" s="20" t="str">
        <x:v>累计金币</x:v>
      </x:c>
      <x:c r="K4" s="20" t="str">
        <x:v>累计木材</x:v>
      </x:c>
      <x:c r="L4" s="20" t="str">
        <x:v>技能状态</x:v>
      </x:c>
      <x:c r="M4" s="20" t="str">
        <x:v>录像来源</x:v>
      </x:c>
      <x:c r="N4" s="20" t="str">
        <x:v>备注</x:v>
      </x:c>
    </x:row>
    <x:row r="5">
      <x:c r="A5" s="35" t="n">
        <x:v>1</x:v>
      </x:c>
      <x:c r="B5" s="35" t="str">
        <x:v>箭塔</x:v>
      </x:c>
      <x:c r="C5" s="35" t="str"/>
      <x:c r="D5" s="35" t="str">
        <x:v>箭塔1-1</x:v>
      </x:c>
      <x:c r="E5" s="36" t="n">
        <x:v>172</x:v>
      </x:c>
      <x:c r="F5" s="36" t="str">
        <x:v>—</x:v>
      </x:c>
      <x:c r="G5" s="36" t="n">
        <x:v>0</x:v>
      </x:c>
      <x:c r="H5" s="36" t="n">
        <x:v>50</x:v>
      </x:c>
      <x:c r="I5" s="36" t="n">
        <x:v>0</x:v>
      </x:c>
      <x:c r="J5" s="36" t="n">
        <x:f>G5</x:f>
        <x:v>0</x:v>
      </x:c>
      <x:c r="K5" s="36" t="n">
        <x:f>H5</x:f>
        <x:v>50</x:v>
      </x:c>
      <x:c r="L5" s="37" t="str">
        <x:v>无特殊技能展示</x:v>
      </x:c>
      <x:c r="M5" s="37" t="str">
        <x:v>视频1</x:v>
      </x:c>
      <x:c r="N5" s="37" t="str">
        <x:v>初建成本：木50；首次稳定攻击显示172</x:v>
      </x:c>
    </x:row>
    <x:row r="6">
      <x:c r="A6" s="35" t="n">
        <x:v>2</x:v>
      </x:c>
      <x:c r="B6" s="35" t="str">
        <x:v>箭塔</x:v>
      </x:c>
      <x:c r="C6" s="35" t="str"/>
      <x:c r="D6" s="35" t="str">
        <x:v>箭塔1-2</x:v>
      </x:c>
      <x:c r="E6" s="36" t="n">
        <x:v>251</x:v>
      </x:c>
      <x:c r="F6" s="36" t="n">
        <x:f>E6-E5</x:f>
        <x:v>79</x:v>
      </x:c>
      <x:c r="G6" s="36" t="n">
        <x:v>0</x:v>
      </x:c>
      <x:c r="H6" s="36" t="n">
        <x:v>100</x:v>
      </x:c>
      <x:c r="I6" s="36" t="n">
        <x:v>0</x:v>
      </x:c>
      <x:c r="J6" s="36" t="n">
        <x:f>J5+G6</x:f>
        <x:v>0</x:v>
      </x:c>
      <x:c r="K6" s="36" t="n">
        <x:f>K5+H6</x:f>
        <x:v>150</x:v>
      </x:c>
      <x:c r="L6" s="37" t="str">
        <x:v>无特殊技能展示</x:v>
      </x:c>
      <x:c r="M6" s="37" t="str">
        <x:v>视频1</x:v>
      </x:c>
      <x:c r="N6" s="37" t="str"/>
    </x:row>
    <x:row r="7">
      <x:c r="A7" s="35" t="n">
        <x:v>3</x:v>
      </x:c>
      <x:c r="B7" s="35" t="str">
        <x:v>箭塔</x:v>
      </x:c>
      <x:c r="C7" s="35" t="str"/>
      <x:c r="D7" s="35" t="str">
        <x:v>箭塔1-3</x:v>
      </x:c>
      <x:c r="E7" s="36" t="n">
        <x:v>301</x:v>
      </x:c>
      <x:c r="F7" s="36" t="n">
        <x:f>E7-E6</x:f>
        <x:v>50</x:v>
      </x:c>
      <x:c r="G7" s="36" t="n">
        <x:v>0</x:v>
      </x:c>
      <x:c r="H7" s="36" t="n">
        <x:v>200</x:v>
      </x:c>
      <x:c r="I7" s="36" t="n">
        <x:v>0</x:v>
      </x:c>
      <x:c r="J7" s="36" t="n">
        <x:f>J6+G7</x:f>
        <x:v>0</x:v>
      </x:c>
      <x:c r="K7" s="36" t="n">
        <x:f>K6+H7</x:f>
        <x:v>350</x:v>
      </x:c>
      <x:c r="L7" s="37" t="str">
        <x:v>无特殊技能展示</x:v>
      </x:c>
      <x:c r="M7" s="37" t="str">
        <x:v>视频1</x:v>
      </x:c>
      <x:c r="N7" s="37" t="str"/>
    </x:row>
    <x:row r="8">
      <x:c r="A8" s="35" t="n">
        <x:v>4</x:v>
      </x:c>
      <x:c r="B8" s="35" t="str">
        <x:v>箭塔</x:v>
      </x:c>
      <x:c r="C8" s="35" t="str"/>
      <x:c r="D8" s="35" t="str">
        <x:v>箭塔1-4</x:v>
      </x:c>
      <x:c r="E8" s="36" t="n">
        <x:v>401</x:v>
      </x:c>
      <x:c r="F8" s="36" t="n">
        <x:f>E8-E7</x:f>
        <x:v>100</x:v>
      </x:c>
      <x:c r="G8" s="36" t="n">
        <x:v>0</x:v>
      </x:c>
      <x:c r="H8" s="36" t="n">
        <x:v>250</x:v>
      </x:c>
      <x:c r="I8" s="36" t="n">
        <x:v>0</x:v>
      </x:c>
      <x:c r="J8" s="36" t="n">
        <x:f>J7+G8</x:f>
        <x:v>0</x:v>
      </x:c>
      <x:c r="K8" s="36" t="n">
        <x:f>K7+H8</x:f>
        <x:v>600</x:v>
      </x:c>
      <x:c r="L8" s="37" t="str">
        <x:v>无特殊技能展示</x:v>
      </x:c>
      <x:c r="M8" s="37" t="str">
        <x:v>视频1</x:v>
      </x:c>
      <x:c r="N8" s="37" t="str"/>
    </x:row>
    <x:row r="9">
      <x:c r="A9" s="35" t="n">
        <x:v>5</x:v>
      </x:c>
      <x:c r="B9" s="35" t="str">
        <x:v>箭塔</x:v>
      </x:c>
      <x:c r="C9" s="35" t="str"/>
      <x:c r="D9" s="35" t="str">
        <x:v>箭塔1-5</x:v>
      </x:c>
      <x:c r="E9" s="36" t="n">
        <x:v>501</x:v>
      </x:c>
      <x:c r="F9" s="36" t="n">
        <x:f>E9-E8</x:f>
        <x:v>100</x:v>
      </x:c>
      <x:c r="G9" s="36" t="n">
        <x:v>0</x:v>
      </x:c>
      <x:c r="H9" s="36" t="n">
        <x:v>300</x:v>
      </x:c>
      <x:c r="I9" s="36" t="n">
        <x:v>0</x:v>
      </x:c>
      <x:c r="J9" s="36" t="n">
        <x:f>J8+G9</x:f>
        <x:v>0</x:v>
      </x:c>
      <x:c r="K9" s="36" t="n">
        <x:f>K8+H9</x:f>
        <x:v>900</x:v>
      </x:c>
      <x:c r="L9" s="37" t="str">
        <x:v>无特殊技能展示</x:v>
      </x:c>
      <x:c r="M9" s="37" t="str">
        <x:v>视频1</x:v>
      </x:c>
      <x:c r="N9" s="37" t="str"/>
    </x:row>
    <x:row r="10">
      <x:c r="A10" s="41" t="n">
        <x:v>6</x:v>
      </x:c>
      <x:c r="B10" s="41" t="str">
        <x:v>死亡之塔</x:v>
      </x:c>
      <x:c r="C10" s="41" t="str">
        <x:v>N</x:v>
      </x:c>
      <x:c r="D10" s="41" t="str">
        <x:v>死亡之塔LV1</x:v>
      </x:c>
      <x:c r="E10" s="42" t="n">
        <x:v>901</x:v>
      </x:c>
      <x:c r="F10" s="42" t="n">
        <x:f>E10-E9</x:f>
        <x:v>400</x:v>
      </x:c>
      <x:c r="G10" s="42" t="n">
        <x:v>20</x:v>
      </x:c>
      <x:c r="H10" s="42" t="n">
        <x:v>1000</x:v>
      </x:c>
      <x:c r="I10" s="42" t="n">
        <x:v>1</x:v>
      </x:c>
      <x:c r="J10" s="42" t="n">
        <x:f>J9+G10</x:f>
        <x:v>20</x:v>
      </x:c>
      <x:c r="K10" s="42" t="n">
        <x:f>K9+H10</x:f>
        <x:v>1900</x:v>
      </x:c>
      <x:c r="L10" s="43" t="str">
        <x:v>致命一击Lv2：13%概率，5倍暴击</x:v>
      </x:c>
      <x:c r="M10" s="43" t="str">
        <x:v>视频1</x:v>
      </x:c>
      <x:c r="N10" s="43" t="str">
        <x:v>升级提示写10%，实际建成后技能显示Lv2/13%</x:v>
      </x:c>
    </x:row>
    <x:row r="11">
      <x:c r="A11" s="41" t="n">
        <x:v>7</x:v>
      </x:c>
      <x:c r="B11" s="41" t="str">
        <x:v>死亡之塔</x:v>
      </x:c>
      <x:c r="C11" s="41" t="str">
        <x:v>N</x:v>
      </x:c>
      <x:c r="D11" s="41" t="str">
        <x:v>死亡之塔LV2</x:v>
      </x:c>
      <x:c r="E11" s="42" t="n">
        <x:v>1501</x:v>
      </x:c>
      <x:c r="F11" s="42" t="n">
        <x:f>E11-E10</x:f>
        <x:v>600</x:v>
      </x:c>
      <x:c r="G11" s="42" t="n">
        <x:v>50</x:v>
      </x:c>
      <x:c r="H11" s="42" t="n">
        <x:v>1500</x:v>
      </x:c>
      <x:c r="I11" s="42" t="n">
        <x:v>0</x:v>
      </x:c>
      <x:c r="J11" s="42" t="n">
        <x:f>J10+G11</x:f>
        <x:v>70</x:v>
      </x:c>
      <x:c r="K11" s="42" t="n">
        <x:f>K10+H11</x:f>
        <x:v>3400</x:v>
      </x:c>
      <x:c r="L11" s="43" t="str">
        <x:v>致命一击Lv3：16%概率，5倍暴击</x:v>
      </x:c>
      <x:c r="M11" s="43" t="str">
        <x:v>视频1</x:v>
      </x:c>
      <x:c r="N11" s="43" t="str"/>
    </x:row>
    <x:row r="12">
      <x:c r="A12" s="41" t="n">
        <x:v>8</x:v>
      </x:c>
      <x:c r="B12" s="41" t="str">
        <x:v>死亡之塔</x:v>
      </x:c>
      <x:c r="C12" s="41" t="str">
        <x:v>N</x:v>
      </x:c>
      <x:c r="D12" s="41" t="str">
        <x:v>死亡之塔LV3</x:v>
      </x:c>
      <x:c r="E12" s="42" t="n">
        <x:v>2101</x:v>
      </x:c>
      <x:c r="F12" s="42" t="n">
        <x:f>E12-E11</x:f>
        <x:v>600</x:v>
      </x:c>
      <x:c r="G12" s="42" t="n">
        <x:v>200</x:v>
      </x:c>
      <x:c r="H12" s="42" t="n">
        <x:v>2000</x:v>
      </x:c>
      <x:c r="I12" s="42" t="n">
        <x:v>0</x:v>
      </x:c>
      <x:c r="J12" s="42" t="n">
        <x:f>J11+G12</x:f>
        <x:v>270</x:v>
      </x:c>
      <x:c r="K12" s="42" t="n">
        <x:f>K11+H12</x:f>
        <x:v>5400</x:v>
      </x:c>
      <x:c r="L12" s="43" t="str">
        <x:v>致命一击Lv4：19%概率，5倍暴击</x:v>
      </x:c>
      <x:c r="M12" s="43" t="str">
        <x:v>视频1</x:v>
      </x:c>
      <x:c r="N12" s="43" t="str"/>
    </x:row>
    <x:row r="13">
      <x:c r="A13" s="41" t="n">
        <x:v>9</x:v>
      </x:c>
      <x:c r="B13" s="41" t="str">
        <x:v>死亡之塔</x:v>
      </x:c>
      <x:c r="C13" s="41" t="str">
        <x:v>N</x:v>
      </x:c>
      <x:c r="D13" s="41" t="str">
        <x:v>死亡之塔LV4</x:v>
      </x:c>
      <x:c r="E13" s="42" t="n">
        <x:v>3901</x:v>
      </x:c>
      <x:c r="F13" s="42" t="n">
        <x:f>E13-E12</x:f>
        <x:v>1800</x:v>
      </x:c>
      <x:c r="G13" s="42" t="n">
        <x:v>500</x:v>
      </x:c>
      <x:c r="H13" s="42" t="n">
        <x:v>2500</x:v>
      </x:c>
      <x:c r="I13" s="42" t="n">
        <x:v>0</x:v>
      </x:c>
      <x:c r="J13" s="42" t="n">
        <x:f>J12+G13</x:f>
        <x:v>770</x:v>
      </x:c>
      <x:c r="K13" s="42" t="n">
        <x:f>K12+H13</x:f>
        <x:v>7900</x:v>
      </x:c>
      <x:c r="L13" s="43" t="str">
        <x:v>致命一击Lv5：22%概率，5倍暴击</x:v>
      </x:c>
      <x:c r="M13" s="43" t="str">
        <x:v>视频1</x:v>
      </x:c>
      <x:c r="N13" s="43" t="str"/>
    </x:row>
    <x:row r="14">
      <x:c r="A14" s="41" t="n">
        <x:v>10</x:v>
      </x:c>
      <x:c r="B14" s="41" t="str">
        <x:v>死亡之塔</x:v>
      </x:c>
      <x:c r="C14" s="41" t="str">
        <x:v>N</x:v>
      </x:c>
      <x:c r="D14" s="41" t="str">
        <x:v>死亡之塔LV5</x:v>
      </x:c>
      <x:c r="E14" s="42" t="n">
        <x:v>6101</x:v>
      </x:c>
      <x:c r="F14" s="42" t="n">
        <x:f>E14-E13</x:f>
        <x:v>2200</x:v>
      </x:c>
      <x:c r="G14" s="42" t="n">
        <x:v>1000</x:v>
      </x:c>
      <x:c r="H14" s="42" t="n">
        <x:v>3000</x:v>
      </x:c>
      <x:c r="I14" s="42" t="n">
        <x:v>0</x:v>
      </x:c>
      <x:c r="J14" s="42" t="n">
        <x:f>J13+G14</x:f>
        <x:v>1770</x:v>
      </x:c>
      <x:c r="K14" s="42" t="n">
        <x:f>K13+H14</x:f>
        <x:v>10900</x:v>
      </x:c>
      <x:c r="L14" s="43" t="str">
        <x:v>致命一击Lv5：22%概率，5倍暴击</x:v>
      </x:c>
      <x:c r="M14" s="43" t="str">
        <x:v>视频1</x:v>
      </x:c>
      <x:c r="N14" s="43" t="str">
        <x:v>技能已达Lv5，继续升塔不再提高</x:v>
      </x:c>
    </x:row>
    <x:row r="15">
      <x:c r="A15" s="47" t="n">
        <x:v>11</x:v>
      </x:c>
      <x:c r="B15" s="47" t="str">
        <x:v>碎骨重炮</x:v>
      </x:c>
      <x:c r="C15" s="47" t="str">
        <x:v>R</x:v>
      </x:c>
      <x:c r="D15" s="47" t="str">
        <x:v>碎骨重炮LV1</x:v>
      </x:c>
      <x:c r="E15" s="48" t="n">
        <x:v>12101</x:v>
      </x:c>
      <x:c r="F15" s="48" t="n">
        <x:f>E15-E14</x:f>
        <x:v>6000</x:v>
      </x:c>
      <x:c r="G15" s="48" t="n">
        <x:v>1000</x:v>
      </x:c>
      <x:c r="H15" s="48" t="n">
        <x:v>20000</x:v>
      </x:c>
      <x:c r="I15" s="48" t="n">
        <x:v>1</x:v>
      </x:c>
      <x:c r="J15" s="48" t="n">
        <x:f>J14+G15</x:f>
        <x:v>2770</x:v>
      </x:c>
      <x:c r="K15" s="48" t="n">
        <x:f>K14+H15</x:f>
        <x:v>30900</x:v>
      </x:c>
      <x:c r="L15" s="49" t="str">
        <x:v>碎骨重炮Lv2：每攻击9次，下一击必暴且为10倍</x:v>
      </x:c>
      <x:c r="M15" s="49" t="str">
        <x:v>视频1</x:v>
      </x:c>
      <x:c r="N15" s="49" t="str">
        <x:v>升级提示写每10次；建成后实际显示Lv2/每9次</x:v>
      </x:c>
    </x:row>
    <x:row r="16">
      <x:c r="A16" s="47" t="n">
        <x:v>12</x:v>
      </x:c>
      <x:c r="B16" s="47" t="str">
        <x:v>碎骨重炮</x:v>
      </x:c>
      <x:c r="C16" s="47" t="str">
        <x:v>R</x:v>
      </x:c>
      <x:c r="D16" s="47" t="str">
        <x:v>碎骨重炮LV2</x:v>
      </x:c>
      <x:c r="E16" s="48" t="n">
        <x:v>35101</x:v>
      </x:c>
      <x:c r="F16" s="48" t="n">
        <x:f>E16-E15</x:f>
        <x:v>23000</x:v>
      </x:c>
      <x:c r="G16" s="48" t="n">
        <x:v>2000</x:v>
      </x:c>
      <x:c r="H16" s="48" t="n">
        <x:v>40000</x:v>
      </x:c>
      <x:c r="I16" s="48" t="n">
        <x:v>0</x:v>
      </x:c>
      <x:c r="J16" s="48" t="n">
        <x:f>J15+G16</x:f>
        <x:v>4770</x:v>
      </x:c>
      <x:c r="K16" s="48" t="n">
        <x:f>K15+H16</x:f>
        <x:v>70900</x:v>
      </x:c>
      <x:c r="L16" s="49" t="str">
        <x:v>碎骨重炮Lv3：每攻击8次，下一击必暴且为10倍</x:v>
      </x:c>
      <x:c r="M16" s="49" t="str">
        <x:v>视频1</x:v>
      </x:c>
      <x:c r="N16" s="49" t="str"/>
    </x:row>
    <x:row r="17">
      <x:c r="A17" s="47" t="n">
        <x:v>13</x:v>
      </x:c>
      <x:c r="B17" s="47" t="str">
        <x:v>碎骨重炮</x:v>
      </x:c>
      <x:c r="C17" s="47" t="str">
        <x:v>R</x:v>
      </x:c>
      <x:c r="D17" s="47" t="str">
        <x:v>碎骨重炮LV3</x:v>
      </x:c>
      <x:c r="E17" s="48" t="n">
        <x:v>50101</x:v>
      </x:c>
      <x:c r="F17" s="48" t="n">
        <x:f>E17-E16</x:f>
        <x:v>15000</x:v>
      </x:c>
      <x:c r="G17" s="48" t="n">
        <x:v>5000</x:v>
      </x:c>
      <x:c r="H17" s="48" t="n">
        <x:v>60000</x:v>
      </x:c>
      <x:c r="I17" s="48" t="n">
        <x:v>0</x:v>
      </x:c>
      <x:c r="J17" s="48" t="n">
        <x:f>J16+G17</x:f>
        <x:v>9770</x:v>
      </x:c>
      <x:c r="K17" s="48" t="n">
        <x:f>K16+H17</x:f>
        <x:v>130900</x:v>
      </x:c>
      <x:c r="L17" s="49" t="str">
        <x:v>碎骨重炮Lv4：每攻击7次，下一击必暴且为10倍</x:v>
      </x:c>
      <x:c r="M17" s="49" t="str">
        <x:v>视频1</x:v>
      </x:c>
      <x:c r="N17" s="49" t="str"/>
    </x:row>
    <x:row r="18">
      <x:c r="A18" s="47" t="n">
        <x:v>14</x:v>
      </x:c>
      <x:c r="B18" s="47" t="str">
        <x:v>碎骨重炮</x:v>
      </x:c>
      <x:c r="C18" s="47" t="str">
        <x:v>R</x:v>
      </x:c>
      <x:c r="D18" s="47" t="str">
        <x:v>碎骨重炮LV4</x:v>
      </x:c>
      <x:c r="E18" s="48" t="n">
        <x:v>75101</x:v>
      </x:c>
      <x:c r="F18" s="48" t="n">
        <x:f>E18-E17</x:f>
        <x:v>25000</x:v>
      </x:c>
      <x:c r="G18" s="48" t="n">
        <x:v>10000</x:v>
      </x:c>
      <x:c r="H18" s="48" t="n">
        <x:v>100000</x:v>
      </x:c>
      <x:c r="I18" s="48" t="n">
        <x:v>0</x:v>
      </x:c>
      <x:c r="J18" s="48" t="n">
        <x:f>J17+G18</x:f>
        <x:v>19770</x:v>
      </x:c>
      <x:c r="K18" s="48" t="n">
        <x:f>K17+H18</x:f>
        <x:v>230900</x:v>
      </x:c>
      <x:c r="L18" s="49" t="str">
        <x:v>碎骨重炮Lv5：每攻击6次，下一击必暴且为10倍</x:v>
      </x:c>
      <x:c r="M18" s="49" t="str">
        <x:v>视频1</x:v>
      </x:c>
      <x:c r="N18" s="49" t="str"/>
    </x:row>
    <x:row r="19">
      <x:c r="A19" s="47" t="n">
        <x:v>15</x:v>
      </x:c>
      <x:c r="B19" s="47" t="str">
        <x:v>碎骨重炮</x:v>
      </x:c>
      <x:c r="C19" s="47" t="str">
        <x:v>R</x:v>
      </x:c>
      <x:c r="D19" s="47" t="str">
        <x:v>碎骨重炮LV5</x:v>
      </x:c>
      <x:c r="E19" s="48" t="n">
        <x:v>108101</x:v>
      </x:c>
      <x:c r="F19" s="48" t="n">
        <x:f>E19-E18</x:f>
        <x:v>33000</x:v>
      </x:c>
      <x:c r="G19" s="48" t="n">
        <x:v>20000</x:v>
      </x:c>
      <x:c r="H19" s="48" t="n">
        <x:v>100000</x:v>
      </x:c>
      <x:c r="I19" s="48" t="n">
        <x:v>0</x:v>
      </x:c>
      <x:c r="J19" s="48" t="n">
        <x:f>J18+G19</x:f>
        <x:v>39770</x:v>
      </x:c>
      <x:c r="K19" s="48" t="n">
        <x:f>K18+H19</x:f>
        <x:v>330900</x:v>
      </x:c>
      <x:c r="L19" s="49" t="str">
        <x:v>碎骨重炮Lv5：每攻击6次，下一击必暴且为10倍</x:v>
      </x:c>
      <x:c r="M19" s="49" t="str">
        <x:v>视频1</x:v>
      </x:c>
      <x:c r="N19" s="49" t="str">
        <x:v>技能已达Lv5，继续升塔不再提高</x:v>
      </x:c>
    </x:row>
    <x:row r="20">
      <x:c r="A20" s="53" t="n">
        <x:v>16</x:v>
      </x:c>
      <x:c r="B20" s="53" t="str">
        <x:v>死神榴弹炮</x:v>
      </x:c>
      <x:c r="C20" s="53" t="str">
        <x:v>SR</x:v>
      </x:c>
      <x:c r="D20" s="53" t="str">
        <x:v>死神榴弹炮LV1</x:v>
      </x:c>
      <x:c r="E20" s="54" t="n">
        <x:v>308101</x:v>
      </x:c>
      <x:c r="F20" s="54" t="n">
        <x:f>E20-E19</x:f>
        <x:v>200000</x:v>
      </x:c>
      <x:c r="G20" s="54" t="n">
        <x:v>30000</x:v>
      </x:c>
      <x:c r="H20" s="54" t="n">
        <x:v>200000</x:v>
      </x:c>
      <x:c r="I20" s="54" t="n">
        <x:v>2</x:v>
      </x:c>
      <x:c r="J20" s="54" t="n">
        <x:f>J19+G20</x:f>
        <x:v>69770</x:v>
      </x:c>
      <x:c r="K20" s="54" t="n">
        <x:f>K19+H20</x:f>
        <x:v>530900</x:v>
      </x:c>
      <x:c r="L20" s="55" t="str">
        <x:v>死神榴弹炮Lv1：暴击时对300码范围造成该次暴击伤害200%</x:v>
      </x:c>
      <x:c r="M20" s="55" t="str">
        <x:v>视频1</x:v>
      </x:c>
      <x:c r="N20" s="55" t="str">
        <x:v>录像内正式名称为“死神榴弹炮”</x:v>
      </x:c>
    </x:row>
    <x:row r="21">
      <x:c r="A21" s="53" t="n">
        <x:v>17</x:v>
      </x:c>
      <x:c r="B21" s="53" t="str">
        <x:v>死神榴弹炮</x:v>
      </x:c>
      <x:c r="C21" s="53" t="str">
        <x:v>SR</x:v>
      </x:c>
      <x:c r="D21" s="53" t="str">
        <x:v>死神榴弹炮LV2</x:v>
      </x:c>
      <x:c r="E21" s="54" t="n">
        <x:v>508101</x:v>
      </x:c>
      <x:c r="F21" s="54" t="n">
        <x:f>E21-E20</x:f>
        <x:v>200000</x:v>
      </x:c>
      <x:c r="G21" s="54" t="n">
        <x:v>60000</x:v>
      </x:c>
      <x:c r="H21" s="54" t="n">
        <x:v>200000</x:v>
      </x:c>
      <x:c r="I21" s="54" t="n">
        <x:v>0</x:v>
      </x:c>
      <x:c r="J21" s="54" t="n">
        <x:f>J20+G21</x:f>
        <x:v>129770</x:v>
      </x:c>
      <x:c r="K21" s="54" t="n">
        <x:f>K20+H21</x:f>
        <x:v>730900</x:v>
      </x:c>
      <x:c r="L21" s="55" t="str">
        <x:v>三项技能数值不变</x:v>
      </x:c>
      <x:c r="M21" s="55" t="str">
        <x:v>视频1</x:v>
      </x:c>
      <x:c r="N21" s="55" t="str"/>
    </x:row>
    <x:row r="22">
      <x:c r="A22" s="53" t="n">
        <x:v>18</x:v>
      </x:c>
      <x:c r="B22" s="53" t="str">
        <x:v>死神榴弹炮</x:v>
      </x:c>
      <x:c r="C22" s="53" t="str">
        <x:v>SR</x:v>
      </x:c>
      <x:c r="D22" s="53" t="str">
        <x:v>死神榴弹炮LV3</x:v>
      </x:c>
      <x:c r="E22" s="54" t="n">
        <x:v>808101</x:v>
      </x:c>
      <x:c r="F22" s="54" t="n">
        <x:f>E22-E21</x:f>
        <x:v>300000</x:v>
      </x:c>
      <x:c r="G22" s="54" t="n">
        <x:v>90000</x:v>
      </x:c>
      <x:c r="H22" s="54" t="n">
        <x:v>200000</x:v>
      </x:c>
      <x:c r="I22" s="54" t="n">
        <x:v>0</x:v>
      </x:c>
      <x:c r="J22" s="54" t="n">
        <x:f>J21+G22</x:f>
        <x:v>219770</x:v>
      </x:c>
      <x:c r="K22" s="54" t="n">
        <x:f>K21+H22</x:f>
        <x:v>930900</x:v>
      </x:c>
      <x:c r="L22" s="55" t="str">
        <x:v>三项技能数值不变</x:v>
      </x:c>
      <x:c r="M22" s="55" t="str">
        <x:v>视频1</x:v>
      </x:c>
      <x:c r="N22" s="55" t="str"/>
    </x:row>
    <x:row r="23">
      <x:c r="A23" s="53" t="n">
        <x:v>19</x:v>
      </x:c>
      <x:c r="B23" s="53" t="str">
        <x:v>死神榴弹炮</x:v>
      </x:c>
      <x:c r="C23" s="53" t="str">
        <x:v>SR</x:v>
      </x:c>
      <x:c r="D23" s="53" t="str">
        <x:v>死神榴弹炮LV4</x:v>
      </x:c>
      <x:c r="E23" s="54" t="n">
        <x:v>1008101</x:v>
      </x:c>
      <x:c r="F23" s="54" t="n">
        <x:f>E23-E22</x:f>
        <x:v>200000</x:v>
      </x:c>
      <x:c r="G23" s="54" t="n">
        <x:v>120000</x:v>
      </x:c>
      <x:c r="H23" s="54" t="n">
        <x:v>200000</x:v>
      </x:c>
      <x:c r="I23" s="54" t="n">
        <x:v>0</x:v>
      </x:c>
      <x:c r="J23" s="54" t="n">
        <x:f>J22+G23</x:f>
        <x:v>339770</x:v>
      </x:c>
      <x:c r="K23" s="54" t="n">
        <x:f>K22+H23</x:f>
        <x:v>1130900</x:v>
      </x:c>
      <x:c r="L23" s="55" t="str">
        <x:v>三项技能数值不变</x:v>
      </x:c>
      <x:c r="M23" s="55" t="str">
        <x:v>视频1</x:v>
      </x:c>
      <x:c r="N23" s="55" t="str"/>
    </x:row>
    <x:row r="24">
      <x:c r="A24" s="53" t="n">
        <x:v>20</x:v>
      </x:c>
      <x:c r="B24" s="53" t="str">
        <x:v>死神榴弹炮</x:v>
      </x:c>
      <x:c r="C24" s="53" t="str">
        <x:v>SR</x:v>
      </x:c>
      <x:c r="D24" s="53" t="str">
        <x:v>死神榴弹炮LV5</x:v>
      </x:c>
      <x:c r="E24" s="54" t="n">
        <x:v>1508101</x:v>
      </x:c>
      <x:c r="F24" s="54" t="n">
        <x:f>E24-E23</x:f>
        <x:v>500000</x:v>
      </x:c>
      <x:c r="G24" s="54" t="n">
        <x:v>150000</x:v>
      </x:c>
      <x:c r="H24" s="54" t="n">
        <x:v>200000</x:v>
      </x:c>
      <x:c r="I24" s="54" t="n">
        <x:v>0</x:v>
      </x:c>
      <x:c r="J24" s="54" t="n">
        <x:f>J23+G24</x:f>
        <x:v>489770</x:v>
      </x:c>
      <x:c r="K24" s="54" t="n">
        <x:f>K23+H24</x:f>
        <x:v>1330900</x:v>
      </x:c>
      <x:c r="L24" s="55" t="str">
        <x:v>三项技能数值不变</x:v>
      </x:c>
      <x:c r="M24" s="55" t="str">
        <x:v>视频1</x:v>
      </x:c>
      <x:c r="N24" s="55" t="str"/>
    </x:row>
    <x:row r="25">
      <x:c r="A25" s="53" t="n">
        <x:v>21</x:v>
      </x:c>
      <x:c r="B25" s="53" t="str">
        <x:v>死神榴弹炮</x:v>
      </x:c>
      <x:c r="C25" s="53" t="str">
        <x:v>SSR</x:v>
      </x:c>
      <x:c r="D25" s="53" t="str">
        <x:v>死神榴弹炮LV6</x:v>
      </x:c>
      <x:c r="E25" s="54" t="n">
        <x:v>2008101</x:v>
      </x:c>
      <x:c r="F25" s="54" t="n">
        <x:f>E25-E24</x:f>
        <x:v>500000</x:v>
      </x:c>
      <x:c r="G25" s="54" t="n">
        <x:v>200000</x:v>
      </x:c>
      <x:c r="H25" s="54" t="n">
        <x:v>400000</x:v>
      </x:c>
      <x:c r="I25" s="54" t="n">
        <x:v>0</x:v>
      </x:c>
      <x:c r="J25" s="54" t="n">
        <x:f>J24+G25</x:f>
        <x:v>689770</x:v>
      </x:c>
      <x:c r="K25" s="54" t="n">
        <x:f>K24+H25</x:f>
        <x:v>1730900</x:v>
      </x:c>
      <x:c r="L25" s="55" t="str">
        <x:v>三项技能数值不变</x:v>
      </x:c>
      <x:c r="M25" s="55" t="str">
        <x:v>视频1</x:v>
      </x:c>
      <x:c r="N25" s="55" t="str">
        <x:v>LV6开始稀有度前缀由SR变为SSR</x:v>
      </x:c>
    </x:row>
    <x:row r="26">
      <x:c r="A26" s="53" t="n">
        <x:v>22</x:v>
      </x:c>
      <x:c r="B26" s="53" t="str">
        <x:v>死神榴弹炮</x:v>
      </x:c>
      <x:c r="C26" s="53" t="str">
        <x:v>SSR</x:v>
      </x:c>
      <x:c r="D26" s="53" t="str">
        <x:v>死神榴弹炮LV7</x:v>
      </x:c>
      <x:c r="E26" s="54" t="n">
        <x:v>3008101</x:v>
      </x:c>
      <x:c r="F26" s="54" t="n">
        <x:f>E26-E25</x:f>
        <x:v>1000000</x:v>
      </x:c>
      <x:c r="G26" s="54" t="n">
        <x:v>250000</x:v>
      </x:c>
      <x:c r="H26" s="54" t="n">
        <x:v>500000</x:v>
      </x:c>
      <x:c r="I26" s="54" t="n">
        <x:v>0</x:v>
      </x:c>
      <x:c r="J26" s="54" t="n">
        <x:f>J25+G26</x:f>
        <x:v>939770</x:v>
      </x:c>
      <x:c r="K26" s="54" t="n">
        <x:f>K25+H26</x:f>
        <x:v>2230900</x:v>
      </x:c>
      <x:c r="L26" s="55" t="str">
        <x:v>三项技能数值不变</x:v>
      </x:c>
      <x:c r="M26" s="55" t="str">
        <x:v>视频1</x:v>
      </x:c>
      <x:c r="N26" s="55" t="str"/>
    </x:row>
    <x:row r="27">
      <x:c r="A27" s="53" t="n">
        <x:v>23</x:v>
      </x:c>
      <x:c r="B27" s="53" t="str">
        <x:v>死神榴弹炮</x:v>
      </x:c>
      <x:c r="C27" s="53" t="str">
        <x:v>SSR</x:v>
      </x:c>
      <x:c r="D27" s="53" t="str">
        <x:v>死神榴弹炮LV8</x:v>
      </x:c>
      <x:c r="E27" s="54" t="n">
        <x:v>4008101</x:v>
      </x:c>
      <x:c r="F27" s="54" t="n">
        <x:f>E27-E26</x:f>
        <x:v>1000000</x:v>
      </x:c>
      <x:c r="G27" s="54" t="n">
        <x:v>300000</x:v>
      </x:c>
      <x:c r="H27" s="54" t="n">
        <x:v>600000</x:v>
      </x:c>
      <x:c r="I27" s="54" t="n">
        <x:v>0</x:v>
      </x:c>
      <x:c r="J27" s="54" t="n">
        <x:f>J26+G27</x:f>
        <x:v>1239770</x:v>
      </x:c>
      <x:c r="K27" s="54" t="n">
        <x:f>K26+H27</x:f>
        <x:v>2830900</x:v>
      </x:c>
      <x:c r="L27" s="55" t="str">
        <x:v>三项技能数值不变</x:v>
      </x:c>
      <x:c r="M27" s="55" t="str">
        <x:v>视频2</x:v>
      </x:c>
      <x:c r="N27" s="55" t="str"/>
    </x:row>
    <x:row r="28">
      <x:c r="A28" s="53" t="n">
        <x:v>24</x:v>
      </x:c>
      <x:c r="B28" s="53" t="str">
        <x:v>死神榴弹炮</x:v>
      </x:c>
      <x:c r="C28" s="53" t="str">
        <x:v>SSR</x:v>
      </x:c>
      <x:c r="D28" s="53" t="str">
        <x:v>死神榴弹炮LV9</x:v>
      </x:c>
      <x:c r="E28" s="54" t="n">
        <x:v>5008101</x:v>
      </x:c>
      <x:c r="F28" s="54" t="n">
        <x:f>E28-E27</x:f>
        <x:v>1000000</x:v>
      </x:c>
      <x:c r="G28" s="54" t="n">
        <x:v>350000</x:v>
      </x:c>
      <x:c r="H28" s="54" t="n">
        <x:v>700000</x:v>
      </x:c>
      <x:c r="I28" s="54" t="n">
        <x:v>0</x:v>
      </x:c>
      <x:c r="J28" s="54" t="n">
        <x:f>J27+G28</x:f>
        <x:v>1589770</x:v>
      </x:c>
      <x:c r="K28" s="54" t="n">
        <x:f>K27+H28</x:f>
        <x:v>3530900</x:v>
      </x:c>
      <x:c r="L28" s="55" t="str">
        <x:v>三项技能数值不变</x:v>
      </x:c>
      <x:c r="M28" s="55" t="str">
        <x:v>视频2</x:v>
      </x:c>
      <x:c r="N28" s="55" t="str"/>
    </x:row>
    <x:row r="29">
      <x:c r="A29" s="53" t="n">
        <x:v>25</x:v>
      </x:c>
      <x:c r="B29" s="53" t="str">
        <x:v>死神榴弹炮</x:v>
      </x:c>
      <x:c r="C29" s="53" t="str">
        <x:v>SSR</x:v>
      </x:c>
      <x:c r="D29" s="53" t="str">
        <x:v>死神榴弹炮LV10</x:v>
      </x:c>
      <x:c r="E29" s="54" t="n">
        <x:v>6008101</x:v>
      </x:c>
      <x:c r="F29" s="54" t="n">
        <x:f>E29-E28</x:f>
        <x:v>1000000</x:v>
      </x:c>
      <x:c r="G29" s="54" t="n">
        <x:v>400000</x:v>
      </x:c>
      <x:c r="H29" s="54" t="n">
        <x:v>800000</x:v>
      </x:c>
      <x:c r="I29" s="54" t="n">
        <x:v>0</x:v>
      </x:c>
      <x:c r="J29" s="54" t="n">
        <x:f>J28+G29</x:f>
        <x:v>1989770</x:v>
      </x:c>
      <x:c r="K29" s="54" t="n">
        <x:f>K28+H29</x:f>
        <x:v>4330900</x:v>
      </x:c>
      <x:c r="L29" s="55" t="str">
        <x:v>三项技能数值不变</x:v>
      </x:c>
      <x:c r="M29" s="55" t="str">
        <x:v>视频2</x:v>
      </x:c>
      <x:c r="N29" s="55" t="str">
        <x:v>本录像升级线终点</x:v>
      </x:c>
    </x:row>
    <x:row r="31" ht="32" customHeight="1">
      <x:c r="A31" s="63" t="str">
        <x:v>整条升级线累计成本（从建造箭塔1-1至死神榴弹炮LV10）</x:v>
      </x:c>
      <x:c r="B31" s="63"/>
      <x:c r="C31" s="63"/>
      <x:c r="D31" s="63"/>
      <x:c r="E31" s="63"/>
      <x:c r="F31" s="63"/>
      <x:c r="G31" s="69" t="n">
        <x:f>SUM(G5:G29)</x:f>
        <x:v>1989770</x:v>
      </x:c>
      <x:c r="H31" s="69" t="n">
        <x:f>SUM(H5:H29)</x:f>
        <x:v>4330900</x:v>
      </x:c>
      <x:c r="I31" s="69" t="n">
        <x:f>SUM(I5:I29)</x:f>
        <x:v>4</x:v>
      </x:c>
      <x:c r="J31" s="63" t="str">
        <x:v>累计金币/木材不包含主城、前置建筑和其他路线成本</x:v>
      </x:c>
      <x:c r="K31" s="63"/>
      <x:c r="L31" s="63"/>
      <x:c r="M31" s="63"/>
      <x:c r="N31" s="63"/>
    </x:row>
  </x:sheetData>
  <x:mergeCells>
    <x:mergeCell ref="A1:N1"/>
    <x:mergeCell ref="A2:N2"/>
    <x:mergeCell ref="A31:F31"/>
    <x:mergeCell ref="J31:N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14" hidden="0" customWidth="1"/>
    <x:col min="4" max="4" width="30" hidden="0" customWidth="1"/>
    <x:col min="5" max="5" width="65" hidden="0" customWidth="1"/>
    <x:col min="6" max="6" width="34" hidden="0" customWidth="1"/>
    <x:col min="7" max="7" width="46" hidden="0" customWidth="1"/>
  </x:cols>
  <x:sheetData>
    <x:row r="1" ht="30" customHeight="1">
      <x:c r="A1" s="74" t="str">
        <x:v>特殊技能文本与随塔升级变化</x:v>
      </x:c>
      <x:c r="B1" s="74"/>
      <x:c r="C1" s="74"/>
      <x:c r="D1" s="74"/>
      <x:c r="E1" s="74"/>
      <x:c r="F1" s="74"/>
      <x:c r="G1" s="74"/>
    </x:row>
    <x:row r="3" ht="30" customHeight="1">
      <x:c r="A3" s="83" t="str">
        <x:v>技能</x:v>
      </x:c>
      <x:c r="B3" s="83" t="str">
        <x:v>出现阶段</x:v>
      </x:c>
      <x:c r="C3" s="83" t="str">
        <x:v>技能等级</x:v>
      </x:c>
      <x:c r="D3" s="83" t="str">
        <x:v>关键参数</x:v>
      </x:c>
      <x:c r="E3" s="83" t="str">
        <x:v>录像原文</x:v>
      </x:c>
      <x:c r="F3" s="83" t="str">
        <x:v>升级规律</x:v>
      </x:c>
      <x:c r="G3" s="83" t="str">
        <x:v>提取备注</x:v>
      </x:c>
    </x:row>
    <x:row r="4">
      <x:c r="A4" s="91" t="str">
        <x:v>致命一击</x:v>
      </x:c>
      <x:c r="B4" s="91" t="str">
        <x:v>死亡之塔LV1升级按钮</x:v>
      </x:c>
      <x:c r="C4" s="91" t="str">
        <x:v>解锁说明</x:v>
      </x:c>
      <x:c r="D4" s="91" t="str">
        <x:v>10%概率；5倍暴击</x:v>
      </x:c>
      <x:c r="E4" s="91" t="str">
        <x:v>攻击有10%几率触发5倍暴击，每次升级几率+3%</x:v>
      </x:c>
      <x:c r="F4" s="91" t="str">
        <x:v>每升一级概率+3%</x:v>
      </x:c>
      <x:c r="G4" s="91" t="str">
        <x:v>这是升级按钮上的解锁说明</x:v>
      </x:c>
    </x:row>
    <x:row r="5">
      <x:c r="A5" s="93" t="str">
        <x:v>致命一击</x:v>
      </x:c>
      <x:c r="B5" s="93" t="str">
        <x:v>死亡之塔LV1</x:v>
      </x:c>
      <x:c r="C5" s="93" t="str">
        <x:v>等级2</x:v>
      </x:c>
      <x:c r="D5" s="93" t="str">
        <x:v>13%概率；5倍暴击</x:v>
      </x:c>
      <x:c r="E5" s="93" t="str">
        <x:v>给予13%的概率使得攻击能造成5倍于一般攻击的伤害值。
每次升级几率+3%</x:v>
      </x:c>
      <x:c r="F5" s="93" t="str">
        <x:v>死亡LV1→LV4依次13%/16%/19%/22%</x:v>
      </x:c>
      <x:c r="G5" s="93" t="str">
        <x:v>建成后直接显示等级2，与按钮的10%说明存在一级偏移</x:v>
      </x:c>
    </x:row>
    <x:row r="6">
      <x:c r="A6" s="91" t="str">
        <x:v>致命一击</x:v>
      </x:c>
      <x:c r="B6" s="91" t="str">
        <x:v>死亡之塔LV2</x:v>
      </x:c>
      <x:c r="C6" s="91" t="str">
        <x:v>等级3</x:v>
      </x:c>
      <x:c r="D6" s="91" t="str">
        <x:v>16%概率；5倍暴击</x:v>
      </x:c>
      <x:c r="E6" s="91" t="str">
        <x:v>给予16%的概率使得攻击能造成5倍于一般攻击的伤害值。
每次升级几率+3%</x:v>
      </x:c>
      <x:c r="F6" s="91" t="str">
        <x:v>概率+3%</x:v>
      </x:c>
      <x:c r="G6" s="91" t="str"/>
    </x:row>
    <x:row r="7">
      <x:c r="A7" s="93" t="str">
        <x:v>致命一击</x:v>
      </x:c>
      <x:c r="B7" s="93" t="str">
        <x:v>死亡之塔LV3</x:v>
      </x:c>
      <x:c r="C7" s="93" t="str">
        <x:v>等级4</x:v>
      </x:c>
      <x:c r="D7" s="93" t="str">
        <x:v>19%概率；5倍暴击</x:v>
      </x:c>
      <x:c r="E7" s="93" t="str">
        <x:v>给予19%的概率使得攻击能造成5倍于一般攻击的伤害值。
每次升级几率+3%</x:v>
      </x:c>
      <x:c r="F7" s="93" t="str">
        <x:v>概率+3%</x:v>
      </x:c>
      <x:c r="G7" s="93" t="str"/>
    </x:row>
    <x:row r="8">
      <x:c r="A8" s="91" t="str">
        <x:v>致命一击</x:v>
      </x:c>
      <x:c r="B8" s="91" t="str">
        <x:v>死亡之塔LV4及以后</x:v>
      </x:c>
      <x:c r="C8" s="91" t="str">
        <x:v>等级5</x:v>
      </x:c>
      <x:c r="D8" s="91" t="str">
        <x:v>22%概率；5倍暴击</x:v>
      </x:c>
      <x:c r="E8" s="91" t="str">
        <x:v>给予22%的概率使得攻击能造成5倍于一般攻击的伤害值。
每次升级几率+3%</x:v>
      </x:c>
      <x:c r="F8" s="91" t="str">
        <x:v>等级5封顶；后续塔升级不再增加</x:v>
      </x:c>
      <x:c r="G8" s="91" t="str"/>
    </x:row>
    <x:row r="9">
      <x:c r="A9" s="93" t="str">
        <x:v>碎骨重炮</x:v>
      </x:c>
      <x:c r="B9" s="93" t="str">
        <x:v>死亡之塔LV5→碎骨重炮LV1升级按钮</x:v>
      </x:c>
      <x:c r="C9" s="93" t="str">
        <x:v>解锁说明</x:v>
      </x:c>
      <x:c r="D9" s="93" t="str">
        <x:v>每攻击10次；下一击10倍必暴</x:v>
      </x:c>
      <x:c r="E9" s="93" t="str">
        <x:v>解锁技能：碎骨
每攻击10次下一次攻击必定暴击且暴击倍数提高为10倍</x:v>
      </x:c>
      <x:c r="F9" s="93" t="str">
        <x:v>每次升级攻击需求次数-1</x:v>
      </x:c>
      <x:c r="G9" s="93" t="str">
        <x:v>升级按钮上写“碎骨”，实际技能名为“碎骨重炮”</x:v>
      </x:c>
    </x:row>
    <x:row r="10">
      <x:c r="A10" s="91" t="str">
        <x:v>碎骨重炮</x:v>
      </x:c>
      <x:c r="B10" s="91" t="str">
        <x:v>碎骨重炮LV1</x:v>
      </x:c>
      <x:c r="C10" s="91" t="str">
        <x:v>等级2</x:v>
      </x:c>
      <x:c r="D10" s="91" t="str">
        <x:v>每攻击9次；下一击10倍必暴</x:v>
      </x:c>
      <x:c r="E10" s="91" t="str">
        <x:v>每攻击9次下一次攻击必定暴击且暴击倍数提高为10倍
每次升级攻击需求次数-1</x:v>
      </x:c>
      <x:c r="F10" s="91" t="str">
        <x:v>9→8→7→6次</x:v>
      </x:c>
      <x:c r="G10" s="91" t="str">
        <x:v>建成后直接显示等级2，与按钮的10次说明存在一级偏移</x:v>
      </x:c>
    </x:row>
    <x:row r="11">
      <x:c r="A11" s="93" t="str">
        <x:v>碎骨重炮</x:v>
      </x:c>
      <x:c r="B11" s="93" t="str">
        <x:v>碎骨重炮LV2</x:v>
      </x:c>
      <x:c r="C11" s="93" t="str">
        <x:v>等级3</x:v>
      </x:c>
      <x:c r="D11" s="93" t="str">
        <x:v>每攻击8次；下一击10倍必暴</x:v>
      </x:c>
      <x:c r="E11" s="93" t="str">
        <x:v>每攻击8次下一次攻击必定暴击且暴击倍数提高为10倍
每次升级攻击需求次数-1</x:v>
      </x:c>
      <x:c r="F11" s="93" t="str">
        <x:v>需求次数-1</x:v>
      </x:c>
      <x:c r="G11" s="93" t="str"/>
    </x:row>
    <x:row r="12">
      <x:c r="A12" s="91" t="str">
        <x:v>碎骨重炮</x:v>
      </x:c>
      <x:c r="B12" s="91" t="str">
        <x:v>碎骨重炮LV3</x:v>
      </x:c>
      <x:c r="C12" s="91" t="str">
        <x:v>等级4</x:v>
      </x:c>
      <x:c r="D12" s="91" t="str">
        <x:v>每攻击7次；下一击10倍必暴</x:v>
      </x:c>
      <x:c r="E12" s="91" t="str">
        <x:v>每攻击7次下一次攻击必定暴击且暴击倍数提高为10倍
每次升级攻击需求次数-1</x:v>
      </x:c>
      <x:c r="F12" s="91" t="str">
        <x:v>需求次数-1</x:v>
      </x:c>
      <x:c r="G12" s="91" t="str"/>
    </x:row>
    <x:row r="13">
      <x:c r="A13" s="93" t="str">
        <x:v>碎骨重炮</x:v>
      </x:c>
      <x:c r="B13" s="93" t="str">
        <x:v>碎骨重炮LV4及以后</x:v>
      </x:c>
      <x:c r="C13" s="93" t="str">
        <x:v>等级5</x:v>
      </x:c>
      <x:c r="D13" s="93" t="str">
        <x:v>每攻击6次；下一击10倍必暴</x:v>
      </x:c>
      <x:c r="E13" s="93" t="str">
        <x:v>每攻击6次下一次攻击必定暴击且暴击倍数提高为10倍
每次升级攻击需求次数-1</x:v>
      </x:c>
      <x:c r="F13" s="93" t="str">
        <x:v>等级5封顶；后续塔升级不再减少次数</x:v>
      </x:c>
      <x:c r="G13" s="93" t="str"/>
    </x:row>
    <x:row r="14">
      <x:c r="A14" s="91" t="str">
        <x:v>死神榴弹炮</x:v>
      </x:c>
      <x:c r="B14" s="91" t="str">
        <x:v>碎骨重炮LV5→死神榴弹炮LV1升级按钮</x:v>
      </x:c>
      <x:c r="C14" s="91" t="str">
        <x:v>解锁说明</x:v>
      </x:c>
      <x:c r="D14" s="91" t="str">
        <x:v>半径300码；200%暴击伤害范围伤害</x:v>
      </x:c>
      <x:c r="E14" s="91" t="str">
        <x:v>解锁技能：榴弹炮
每次暴击对半径300码范围造成该次暴击伤害200%的范围伤害</x:v>
      </x:c>
      <x:c r="F14" s="91" t="str">
        <x:v>录像内未显示继续成长</x:v>
      </x:c>
      <x:c r="G14" s="91" t="str">
        <x:v>升级按钮原文</x:v>
      </x:c>
    </x:row>
    <x:row r="15">
      <x:c r="A15" s="93" t="str">
        <x:v>死神榴弹炮</x:v>
      </x:c>
      <x:c r="B15" s="93" t="str">
        <x:v>死神榴弹炮LV1至LV10</x:v>
      </x:c>
      <x:c r="C15" s="93" t="str">
        <x:v>等级1</x:v>
      </x:c>
      <x:c r="D15" s="93" t="str">
        <x:v>半径300码；200%暴击伤害范围伤害</x:v>
      </x:c>
      <x:c r="E15" s="93" t="str">
        <x:v>每次暴击对半径300码范围造成该次暴击伤害200%的范围伤害</x:v>
      </x:c>
      <x:c r="F15" s="93" t="str">
        <x:v>LV1至LV10保持等级1、数值不变</x:v>
      </x:c>
      <x:c r="G15" s="93" t="str">
        <x:v>第二段录像在高等级再次悬停确认数值未变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8" hidden="0" customWidth="1"/>
    <x:col min="4" max="4" width="75" hidden="0" customWidth="1"/>
  </x:cols>
  <x:sheetData>
    <x:row r="1" ht="30" customHeight="1">
      <x:c r="A1" s="98" t="str">
        <x:v>录像提取说明与证据范围</x:v>
      </x:c>
      <x:c r="B1" s="98"/>
      <x:c r="C1" s="98"/>
      <x:c r="D1" s="98"/>
    </x:row>
    <x:row r="3">
      <x:c r="A3" s="106" t="str">
        <x:v>项目</x:v>
      </x:c>
      <x:c r="B3" s="106" t="str">
        <x:v>内容</x:v>
      </x:c>
      <x:c r="C3" s="106" t="str">
        <x:v>状态</x:v>
      </x:c>
      <x:c r="D3" s="106" t="str">
        <x:v>说明</x:v>
      </x:c>
    </x:row>
    <x:row r="4">
      <x:c r="A4" s="89" t="str">
        <x:v>视频1</x:v>
      </x:c>
      <x:c r="B4" s="89" t="str">
        <x:v>War3 2026-07-19 12-34-30-146.mp4</x:v>
      </x:c>
      <x:c r="C4" s="89" t="str">
        <x:v>已检查</x:v>
      </x:c>
      <x:c r="D4" s="89" t="str">
        <x:v>覆盖箭塔1-1至死神榴弹炮LV7，并展示技能文本</x:v>
      </x:c>
    </x:row>
    <x:row r="5">
      <x:c r="A5" s="89" t="str">
        <x:v>视频2</x:v>
      </x:c>
      <x:c r="B5" s="89" t="str">
        <x:v>War3 2026-07-19 12-36-23-614.mp4</x:v>
      </x:c>
      <x:c r="C5" s="89" t="str">
        <x:v>已检查</x:v>
      </x:c>
      <x:c r="D5" s="89" t="str">
        <x:v>补充死神榴弹炮LV8、LV9、LV10和高等级技能复核</x:v>
      </x:c>
    </x:row>
    <x:row r="6">
      <x:c r="A6" s="89" t="str">
        <x:v>攻击口径</x:v>
      </x:c>
      <x:c r="B6" s="89" t="str">
        <x:v>升级完成后的首个稳定攻击力显示</x:v>
      </x:c>
      <x:c r="C6" s="89" t="str">
        <x:v>采用</x:v>
      </x:c>
      <x:c r="D6" s="89" t="str">
        <x:v>同一等级停留数秒时攻击面板保持不变，因此未把已知每秒+4计入表格</x:v>
      </x:c>
    </x:row>
    <x:row r="7">
      <x:c r="A7" s="89" t="str">
        <x:v>攻击提升</x:v>
      </x:c>
      <x:c r="B7" s="89" t="str">
        <x:v>当前等级攻击力－上一等级攻击力</x:v>
      </x:c>
      <x:c r="C7" s="89" t="str">
        <x:v>公式计算</x:v>
      </x:c>
      <x:c r="D7" s="89" t="str">
        <x:v>跨塔种转职也按完整升级线连续计算</x:v>
      </x:c>
    </x:row>
    <x:row r="8">
      <x:c r="A8" s="89" t="str">
        <x:v>资源口径</x:v>
      </x:c>
      <x:c r="B8" s="89" t="str">
        <x:v>升到本级所支付的金币和木材</x:v>
      </x:c>
      <x:c r="C8" s="89" t="str">
        <x:v>采用</x:v>
      </x:c>
      <x:c r="D8" s="89" t="str">
        <x:v>箭塔1-1为初建成本，其余为升级按钮成本；个别转职另有人口增量</x:v>
      </x:c>
    </x:row>
    <x:row r="9">
      <x:c r="A9" s="89" t="str">
        <x:v>显示尾数</x:v>
      </x:c>
      <x:c r="B9" s="89" t="str">
        <x:v>大量攻击值以01结尾</x:v>
      </x:c>
      <x:c r="C9" s="89" t="str">
        <x:v>保留原值</x:v>
      </x:c>
      <x:c r="D9" s="89" t="str">
        <x:v>可能与War3攻击骰/显示机制有关；本表不擅自减1，且差值不受共同尾数影响</x:v>
      </x:c>
    </x:row>
    <x:row r="10">
      <x:c r="A10" s="89" t="str">
        <x:v>名称校正</x:v>
      </x:c>
      <x:c r="B10" s="89" t="str">
        <x:v>用户称“死亡榴弹”</x:v>
      </x:c>
      <x:c r="C10" s="89" t="str">
        <x:v>按录像校正</x:v>
      </x:c>
      <x:c r="D10" s="89" t="str">
        <x:v>录像内单位和技能正式显示为“死神榴弹炮”</x:v>
      </x:c>
    </x:row>
    <x:row r="11">
      <x:c r="A11" s="89" t="str">
        <x:v>需后续确认</x:v>
      </x:c>
      <x:c r="B11" s="89" t="str">
        <x:v>箭塔1-1→1-2提升为79</x:v>
      </x:c>
      <x:c r="C11" s="89" t="str">
        <x:v>低风险疑点</x:v>
      </x:c>
      <x:c r="D11" s="89" t="str">
        <x:v>录像连续稳定显示172和251；表内按实录差值记录，不擅自修整为整十数</x:v>
      </x:c>
    </x:row>
  </x:sheetData>
  <x:mergeCells>
    <x:mergeCell ref="A1:D1"/>
  </x:mergeCells>
  <x:pageMargins left="0.7" right="0.7" top="0.75" bottom="0.75" header="0.3" footer="0.3"/>
</x:worksheet>
</file>