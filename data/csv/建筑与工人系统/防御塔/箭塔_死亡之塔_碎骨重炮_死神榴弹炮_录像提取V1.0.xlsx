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50"/>
  </bookViews>
  <sheets>
    <sheet name="升级线总表" sheetId="1" r:id="rId1"/>
    <sheet name="技能文本" sheetId="2" r:id="rId2"/>
    <sheet name="提取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<sst xmlns="http://schemas.openxmlformats.org/spreadsheetml/2006/main" count="311" uniqueCount="166">
  <si>
    <t>箭塔 → 死亡之塔 → 碎骨重炮 → 死神榴弹炮：录像数值提取</t>
  </si>
  <si>
    <t>口径说明：金币/木材为“升级到本级”的成本；攻击力取升级完成后的首个稳定读数。同级停留期间面板没有出现每秒+4的跳变，因此表内不计入该时间成长。</t>
  </si>
  <si>
    <t/>
  </si>
  <si>
    <t>序号</t>
  </si>
  <si>
    <t>阶段</t>
  </si>
  <si>
    <t>稀有度</t>
  </si>
  <si>
    <t>等级/名称</t>
  </si>
  <si>
    <t>录像攻击力</t>
  </si>
  <si>
    <t>较上一级提升</t>
  </si>
  <si>
    <t>升到本级金币</t>
  </si>
  <si>
    <t>升到本级木材</t>
  </si>
  <si>
    <t>人口增量</t>
  </si>
  <si>
    <t>累计金币</t>
  </si>
  <si>
    <t>累计木材</t>
  </si>
  <si>
    <t>技能状态</t>
  </si>
  <si>
    <t>录像来源</t>
  </si>
  <si>
    <t>备注</t>
  </si>
  <si>
    <t>箭塔</t>
  </si>
  <si>
    <t>箭塔1-1</t>
  </si>
  <si>
    <t>—</t>
  </si>
  <si>
    <t>无特殊技能展示</t>
  </si>
  <si>
    <t>视频1</t>
  </si>
  <si>
    <t>初建成本：木50；首次稳定攻击显示172</t>
  </si>
  <si>
    <t>箭塔1-2</t>
  </si>
  <si>
    <t>箭塔1-3</t>
  </si>
  <si>
    <t>箭塔1-4</t>
  </si>
  <si>
    <t>箭塔1-5</t>
  </si>
  <si>
    <t>死亡之塔</t>
  </si>
  <si>
    <t>N</t>
  </si>
  <si>
    <t>死亡之塔LV1</t>
  </si>
  <si>
    <t>致命一击Lv2：13%概率，5倍暴击</t>
  </si>
  <si>
    <t>升级提示写10%，实际建成后技能显示Lv2/13%</t>
  </si>
  <si>
    <t>死亡之塔LV2</t>
  </si>
  <si>
    <t>致命一击Lv3：16%概率，5倍暴击</t>
  </si>
  <si>
    <t>死亡之塔LV3</t>
  </si>
  <si>
    <t>致命一击Lv4：19%概率，5倍暴击</t>
  </si>
  <si>
    <t>死亡之塔LV4</t>
  </si>
  <si>
    <t>致命一击Lv5：22%概率，5倍暴击</t>
  </si>
  <si>
    <t>死亡之塔LV5</t>
  </si>
  <si>
    <t>技能已达Lv5，继续升塔不再提高</t>
  </si>
  <si>
    <t>碎骨重炮</t>
  </si>
  <si>
    <t>R</t>
  </si>
  <si>
    <t>碎骨重炮LV1</t>
  </si>
  <si>
    <t>碎骨重炮Lv2：每攻击9次，下一击必暴且为10倍</t>
  </si>
  <si>
    <t>升级提示写每10次；建成后实际显示Lv2/每9次</t>
  </si>
  <si>
    <t>碎骨重炮LV2</t>
  </si>
  <si>
    <t>碎骨重炮Lv3：每攻击8次，下一击必暴且为10倍</t>
  </si>
  <si>
    <t>碎骨重炮LV3</t>
  </si>
  <si>
    <t>碎骨重炮Lv4：每攻击7次，下一击必暴且为10倍</t>
  </si>
  <si>
    <t>碎骨重炮LV4</t>
  </si>
  <si>
    <t>碎骨重炮Lv5：每攻击6次，下一击必暴且为10倍</t>
  </si>
  <si>
    <t>碎骨重炮LV5</t>
  </si>
  <si>
    <t>死神榴弹炮</t>
  </si>
  <si>
    <t>SR</t>
  </si>
  <si>
    <t>死神榴弹炮LV1</t>
  </si>
  <si>
    <t>死神榴弹炮Lv1：暴击时对300码范围造成该次暴击伤害200%</t>
  </si>
  <si>
    <t>录像内正式名称为“死神榴弹炮”</t>
  </si>
  <si>
    <t>死神榴弹炮LV2</t>
  </si>
  <si>
    <t>三项技能数值不变</t>
  </si>
  <si>
    <t>死神榴弹炮LV3</t>
  </si>
  <si>
    <t>死神榴弹炮LV4</t>
  </si>
  <si>
    <t>死神榴弹炮LV5</t>
  </si>
  <si>
    <t>SSR</t>
  </si>
  <si>
    <t>死神榴弹炮LV6</t>
  </si>
  <si>
    <t>LV6开始稀有度前缀由SR变为SSR</t>
  </si>
  <si>
    <t>死神榴弹炮LV7</t>
  </si>
  <si>
    <t>死神榴弹炮LV8</t>
  </si>
  <si>
    <t>视频2</t>
  </si>
  <si>
    <t>死神榴弹炮LV9</t>
  </si>
  <si>
    <t>死神榴弹炮LV10</t>
  </si>
  <si>
    <t>本录像升级线终点</t>
  </si>
  <si>
    <t>整条升级线累计成本（从建造箭塔1-1至死神榴弹炮LV10）</t>
  </si>
  <si>
    <t>累计金币/木材不包含主城、前置建筑和其他路线成本</t>
  </si>
  <si>
    <t>特殊技能文本与随塔升级变化</t>
  </si>
  <si>
    <t>技能</t>
  </si>
  <si>
    <t>出现阶段</t>
  </si>
  <si>
    <t>技能等级</t>
  </si>
  <si>
    <t>关键参数</t>
  </si>
  <si>
    <t>录像原文</t>
  </si>
  <si>
    <t>升级规律</t>
  </si>
  <si>
    <t>提取备注</t>
  </si>
  <si>
    <t>致命一击</t>
  </si>
  <si>
    <t>死亡之塔LV1升级按钮</t>
  </si>
  <si>
    <t>解锁说明</t>
  </si>
  <si>
    <t>10%概率；5倍暴击</t>
  </si>
  <si>
    <t>攻击有10%几率触发5倍暴击，每次升级几率+3%</t>
  </si>
  <si>
    <t>每升一级概率+3%</t>
  </si>
  <si>
    <t>这是升级按钮上的解锁说明</t>
  </si>
  <si>
    <t>等级2</t>
  </si>
  <si>
    <t>13%概率；5倍暴击</t>
  </si>
  <si>
    <t>给予13%的概率使得攻击能造成5倍于一般攻击的伤害值。
每次升级几率+3%</t>
  </si>
  <si>
    <t>死亡LV1→LV4依次13%/16%/19%/22%</t>
  </si>
  <si>
    <t>建成后直接显示等级2，与按钮的10%说明存在一级偏移</t>
  </si>
  <si>
    <t>等级3</t>
  </si>
  <si>
    <t>16%概率；5倍暴击</t>
  </si>
  <si>
    <t>给予16%的概率使得攻击能造成5倍于一般攻击的伤害值。
每次升级几率+3%</t>
  </si>
  <si>
    <t>概率+3%</t>
  </si>
  <si>
    <t>等级4</t>
  </si>
  <si>
    <t>19%概率；5倍暴击</t>
  </si>
  <si>
    <t>给予19%的概率使得攻击能造成5倍于一般攻击的伤害值。
每次升级几率+3%</t>
  </si>
  <si>
    <t>死亡之塔LV4及以后</t>
  </si>
  <si>
    <t>等级5</t>
  </si>
  <si>
    <t>22%概率；5倍暴击</t>
  </si>
  <si>
    <t>给予22%的概率使得攻击能造成5倍于一般攻击的伤害值。
每次升级几率+3%</t>
  </si>
  <si>
    <t>等级5封顶；后续塔升级不再增加</t>
  </si>
  <si>
    <t>死亡之塔LV5→碎骨重炮LV1升级按钮</t>
  </si>
  <si>
    <t>每攻击10次；下一击10倍必暴</t>
  </si>
  <si>
    <t>解锁技能：碎骨
每攻击10次下一次攻击必定暴击且暴击倍数提高为10倍</t>
  </si>
  <si>
    <t>每次升级攻击需求次数-1</t>
  </si>
  <si>
    <t>升级按钮上写“碎骨”，实际技能名为“碎骨重炮”</t>
  </si>
  <si>
    <t>每攻击9次；下一击10倍必暴</t>
  </si>
  <si>
    <t>每攻击9次下一次攻击必定暴击且暴击倍数提高为10倍
每次升级攻击需求次数-1</t>
  </si>
  <si>
    <t>9→8→7→6次</t>
  </si>
  <si>
    <t>建成后直接显示等级2，与按钮的10次说明存在一级偏移</t>
  </si>
  <si>
    <t>每攻击8次；下一击10倍必暴</t>
  </si>
  <si>
    <t>每攻击8次下一次攻击必定暴击且暴击倍数提高为10倍
每次升级攻击需求次数-1</t>
  </si>
  <si>
    <t>需求次数-1</t>
  </si>
  <si>
    <t>每攻击7次；下一击10倍必暴</t>
  </si>
  <si>
    <t>每攻击7次下一次攻击必定暴击且暴击倍数提高为10倍
每次升级攻击需求次数-1</t>
  </si>
  <si>
    <t>碎骨重炮LV4及以后</t>
  </si>
  <si>
    <t>每攻击6次；下一击10倍必暴</t>
  </si>
  <si>
    <t>每攻击6次下一次攻击必定暴击且暴击倍数提高为10倍
每次升级攻击需求次数-1</t>
  </si>
  <si>
    <t>等级5封顶；后续塔升级不再减少次数</t>
  </si>
  <si>
    <t>碎骨重炮LV5→死神榴弹炮LV1升级按钮</t>
  </si>
  <si>
    <t>半径300码；200%暴击伤害范围伤害</t>
  </si>
  <si>
    <t>解锁技能：榴弹炮
每次暴击对半径300码范围造成该次暴击伤害200%的范围伤害</t>
  </si>
  <si>
    <t>录像内未显示继续成长</t>
  </si>
  <si>
    <t>升级按钮原文</t>
  </si>
  <si>
    <t>死神榴弹炮LV1至LV10</t>
  </si>
  <si>
    <t>等级1</t>
  </si>
  <si>
    <t>每次暴击对半径300码范围造成该次暴击伤害200%的范围伤害</t>
  </si>
  <si>
    <t>LV1至LV10保持等级1、数值不变</t>
  </si>
  <si>
    <t>第二段录像在高等级再次悬停确认数值未变</t>
  </si>
  <si>
    <t>录像提取说明与证据范围</t>
  </si>
  <si>
    <t>项目</t>
  </si>
  <si>
    <t>内容</t>
  </si>
  <si>
    <t>状态</t>
  </si>
  <si>
    <t>说明</t>
  </si>
  <si>
    <t>War3 2026-07-19 12-34-30-146.mp4</t>
  </si>
  <si>
    <t>已检查</t>
  </si>
  <si>
    <t>覆盖箭塔1-1至死神榴弹炮LV7，并展示技能文本</t>
  </si>
  <si>
    <t>War3 2026-07-19 12-36-23-614.mp4</t>
  </si>
  <si>
    <t>补充死神榴弹炮LV8、LV9、LV10和高等级技能复核</t>
  </si>
  <si>
    <t>攻击口径</t>
  </si>
  <si>
    <t>升级完成后的首个稳定攻击力显示</t>
  </si>
  <si>
    <t>采用</t>
  </si>
  <si>
    <t>同一等级停留数秒时攻击面板保持不变，因此未把已知每秒+4计入表格</t>
  </si>
  <si>
    <t>攻击提升</t>
  </si>
  <si>
    <t>当前等级攻击力－上一等级攻击力</t>
  </si>
  <si>
    <t>公式计算</t>
  </si>
  <si>
    <t>跨塔种转职也按完整升级线连续计算</t>
  </si>
  <si>
    <t>资源口径</t>
  </si>
  <si>
    <t>升到本级所支付的金币和木材</t>
  </si>
  <si>
    <t>箭塔1-1为初建成本，其余为升级按钮成本；个别转职另有人口增量</t>
  </si>
  <si>
    <t>显示尾数</t>
  </si>
  <si>
    <t>大量攻击值以01结尾</t>
  </si>
  <si>
    <t>保留原值</t>
  </si>
  <si>
    <t>可能与War3攻击骰/显示机制有关；本表不擅自减1，且差值不受共同尾数影响</t>
  </si>
  <si>
    <t>名称校正</t>
  </si>
  <si>
    <t>用户称“死亡榴弹”</t>
  </si>
  <si>
    <t>按录像校正</t>
  </si>
  <si>
    <t>录像内单位和技能正式显示为“死神榴弹炮”</t>
  </si>
  <si>
    <t>需后续确认</t>
  </si>
  <si>
    <t>箭塔1-1→1-2提升为79</t>
  </si>
  <si>
    <t>低风险疑点</t>
  </si>
  <si>
    <t>录像连续稳定显示172和251；表内按实录差值记录，不擅自修整为整十数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</si>
</sst>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rgb="FF1F1F1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C2A70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7" borderId="4" applyNumberFormat="0" applyAlignment="0" applyProtection="0">
      <alignment vertical="center"/>
    </xf>
    <xf numFmtId="0" fontId="15" fillId="18" borderId="5" applyNumberFormat="0" applyAlignment="0" applyProtection="0">
      <alignment vertical="center"/>
    </xf>
    <xf numFmtId="0" fontId="16" fillId="18" borderId="4" applyNumberFormat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horizontal="center" vertical="center"/>
    </xf>
    <xf numFmtId="0" fontId="2" fillId="5" borderId="0" xfId="49" applyNumberFormat="1" applyFont="1" applyFill="1" applyBorder="1" applyAlignment="1">
      <alignment horizontal="center" vertical="center" wrapText="1"/>
    </xf>
    <xf numFmtId="0" fontId="0" fillId="6" borderId="0" xfId="49" applyNumberFormat="1" applyFont="1" applyFill="1" applyBorder="1" applyAlignment="1">
      <alignment vertical="top" wrapText="1"/>
    </xf>
    <xf numFmtId="0" fontId="0" fillId="7" borderId="0" xfId="49" applyNumberFormat="1" applyFont="1" applyFill="1" applyBorder="1" applyAlignment="1">
      <alignment vertical="top" wrapText="1"/>
    </xf>
    <xf numFmtId="0" fontId="1" fillId="8" borderId="0" xfId="49" applyNumberFormat="1" applyFont="1" applyFill="1" applyBorder="1" applyAlignment="1">
      <alignment horizontal="center" vertical="center"/>
    </xf>
    <xf numFmtId="0" fontId="3" fillId="9" borderId="0" xfId="49" applyNumberFormat="1" applyFont="1" applyFill="1" applyBorder="1" applyAlignment="1">
      <alignment wrapText="1"/>
    </xf>
    <xf numFmtId="0" fontId="2" fillId="10" borderId="0" xfId="49" applyNumberFormat="1" applyFont="1" applyFill="1" applyBorder="1" applyAlignment="1">
      <alignment horizontal="center" vertical="center" wrapText="1"/>
    </xf>
    <xf numFmtId="0" fontId="0" fillId="11" borderId="0" xfId="49" applyNumberFormat="1" applyFont="1" applyFill="1" applyBorder="1" applyAlignment="1">
      <alignment horizontal="center" vertical="center" wrapText="1"/>
    </xf>
    <xf numFmtId="3" fontId="0" fillId="11" borderId="0" xfId="49" applyNumberFormat="1" applyFont="1" applyFill="1" applyBorder="1" applyAlignment="1">
      <alignment horizontal="center" vertical="center" wrapText="1"/>
    </xf>
    <xf numFmtId="0" fontId="0" fillId="11" borderId="0" xfId="49" applyNumberFormat="1" applyFont="1" applyFill="1" applyBorder="1" applyAlignment="1">
      <alignment vertical="center" wrapText="1"/>
    </xf>
    <xf numFmtId="0" fontId="0" fillId="12" borderId="0" xfId="49" applyNumberFormat="1" applyFont="1" applyFill="1" applyBorder="1" applyAlignment="1">
      <alignment horizontal="center" vertical="center" wrapText="1"/>
    </xf>
    <xf numFmtId="3" fontId="0" fillId="12" borderId="0" xfId="49" applyNumberFormat="1" applyFont="1" applyFill="1" applyBorder="1" applyAlignment="1">
      <alignment horizontal="center" vertical="center" wrapText="1"/>
    </xf>
    <xf numFmtId="0" fontId="0" fillId="12" borderId="0" xfId="49" applyNumberFormat="1" applyFont="1" applyFill="1" applyBorder="1" applyAlignment="1">
      <alignment vertical="center" wrapText="1"/>
    </xf>
    <xf numFmtId="0" fontId="0" fillId="13" borderId="0" xfId="49" applyNumberFormat="1" applyFont="1" applyFill="1" applyBorder="1" applyAlignment="1">
      <alignment horizontal="center" vertical="center" wrapText="1"/>
    </xf>
    <xf numFmtId="3" fontId="0" fillId="13" borderId="0" xfId="49" applyNumberFormat="1" applyFont="1" applyFill="1" applyBorder="1" applyAlignment="1">
      <alignment horizontal="center" vertical="center" wrapText="1"/>
    </xf>
    <xf numFmtId="0" fontId="0" fillId="13" borderId="0" xfId="49" applyNumberFormat="1" applyFont="1" applyFill="1" applyBorder="1" applyAlignment="1">
      <alignment vertical="center" wrapText="1"/>
    </xf>
    <xf numFmtId="0" fontId="0" fillId="14" borderId="0" xfId="49" applyNumberFormat="1" applyFont="1" applyFill="1" applyBorder="1" applyAlignment="1">
      <alignment horizontal="center" vertical="center" wrapText="1"/>
    </xf>
    <xf numFmtId="3" fontId="0" fillId="14" borderId="0" xfId="49" applyNumberFormat="1" applyFont="1" applyFill="1" applyBorder="1" applyAlignment="1">
      <alignment horizontal="center" vertical="center" wrapText="1"/>
    </xf>
    <xf numFmtId="0" fontId="0" fillId="14" borderId="0" xfId="49" applyNumberFormat="1" applyFont="1" applyFill="1" applyBorder="1" applyAlignment="1">
      <alignment vertical="center" wrapText="1"/>
    </xf>
    <xf numFmtId="0" fontId="4" fillId="15" borderId="0" xfId="49" applyNumberFormat="1" applyFont="1" applyFill="1" applyBorder="1" applyAlignment="1">
      <alignment horizontal="center" vertical="center" wrapText="1"/>
    </xf>
    <xf numFmtId="3" fontId="4" fillId="15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workbookViewId="0">
      <selection activeCell="A1" sqref="A1:N1"/>
    </sheetView>
  </sheetViews>
  <sheetFormatPr defaultColWidth="9" defaultRowHeight="14.25"/>
  <cols>
    <col min="1" max="1" width="7" customWidth="1"/>
    <col min="2" max="2" width="15" customWidth="1"/>
    <col min="3" max="3" width="9" customWidth="1"/>
    <col min="4" max="4" width="23" customWidth="1"/>
    <col min="5" max="5" width="16" customWidth="1"/>
    <col min="6" max="8" width="17" customWidth="1"/>
    <col min="9" max="9" width="12" customWidth="1"/>
    <col min="10" max="11" width="16" customWidth="1"/>
    <col min="12" max="12" width="46" customWidth="1"/>
    <col min="13" max="13" width="11" customWidth="1"/>
    <col min="14" max="14" width="38" customWidth="1"/>
  </cols>
  <sheetData>
    <row r="1" ht="30" customHeight="1" spans="1:1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35" customHeight="1" spans="1:14">
      <c r="A2" s="9" t="s">
        <v>1</v>
      </c>
      <c r="B2" s="9" t="s">
        <v>2</v>
      </c>
      <c r="C2" s="9" t="s">
        <v>2</v>
      </c>
      <c r="D2" s="9" t="s">
        <v>2</v>
      </c>
      <c r="E2" s="9" t="s">
        <v>2</v>
      </c>
      <c r="F2" s="9" t="s">
        <v>2</v>
      </c>
      <c r="G2" s="9" t="s">
        <v>2</v>
      </c>
      <c r="H2" s="9" t="s">
        <v>2</v>
      </c>
      <c r="I2" s="9" t="s">
        <v>2</v>
      </c>
      <c r="J2" s="9" t="s">
        <v>2</v>
      </c>
      <c r="K2" s="9" t="s">
        <v>2</v>
      </c>
      <c r="L2" s="9" t="s">
        <v>2</v>
      </c>
      <c r="M2" s="9" t="s">
        <v>2</v>
      </c>
      <c r="N2" s="9" t="s">
        <v>2</v>
      </c>
    </row>
    <row r="4" ht="32" customHeight="1" spans="1:14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0" t="s">
        <v>14</v>
      </c>
      <c r="M4" s="10" t="s">
        <v>15</v>
      </c>
      <c r="N4" s="10" t="s">
        <v>16</v>
      </c>
    </row>
    <row r="5" spans="1:14">
      <c r="A5" s="11">
        <v>1</v>
      </c>
      <c r="B5" s="11" t="s">
        <v>17</v>
      </c>
      <c r="C5" s="11" t="s">
        <v>2</v>
      </c>
      <c r="D5" s="11" t="s">
        <v>18</v>
      </c>
      <c r="E5" s="12">
        <v>172</v>
      </c>
      <c r="F5" s="12" t="s">
        <v>19</v>
      </c>
      <c r="G5" s="12">
        <v>0</v>
      </c>
      <c r="H5" s="12">
        <v>50</v>
      </c>
      <c r="I5" s="12">
        <v>0</v>
      </c>
      <c r="J5" s="12">
        <f>G5</f>
        <v>0</v>
      </c>
      <c r="K5" s="12">
        <f>H5</f>
        <v>50</v>
      </c>
      <c r="L5" s="13" t="s">
        <v>20</v>
      </c>
      <c r="M5" s="13" t="s">
        <v>21</v>
      </c>
      <c r="N5" s="13" t="s">
        <v>22</v>
      </c>
    </row>
    <row r="6" spans="1:14">
      <c r="A6" s="11">
        <v>2</v>
      </c>
      <c r="B6" s="11" t="s">
        <v>17</v>
      </c>
      <c r="C6" s="11" t="s">
        <v>2</v>
      </c>
      <c r="D6" s="11" t="s">
        <v>23</v>
      </c>
      <c r="E6" s="12">
        <v>251</v>
      </c>
      <c r="F6" s="12">
        <f t="shared" ref="F6:F29" si="0">E6-E5</f>
        <v>79</v>
      </c>
      <c r="G6" s="12">
        <v>0</v>
      </c>
      <c r="H6" s="12">
        <v>100</v>
      </c>
      <c r="I6" s="12">
        <v>0</v>
      </c>
      <c r="J6" s="12">
        <f t="shared" ref="J6:J29" si="1">J5+G6</f>
        <v>0</v>
      </c>
      <c r="K6" s="12">
        <f t="shared" ref="K6:K29" si="2">K5+H6</f>
        <v>150</v>
      </c>
      <c r="L6" s="13" t="s">
        <v>20</v>
      </c>
      <c r="M6" s="13" t="s">
        <v>21</v>
      </c>
      <c r="N6" s="13" t="s">
        <v>2</v>
      </c>
    </row>
    <row r="7" spans="1:14">
      <c r="A7" s="11">
        <v>3</v>
      </c>
      <c r="B7" s="11" t="s">
        <v>17</v>
      </c>
      <c r="C7" s="11" t="s">
        <v>2</v>
      </c>
      <c r="D7" s="11" t="s">
        <v>24</v>
      </c>
      <c r="E7" s="12">
        <v>301</v>
      </c>
      <c r="F7" s="12">
        <f t="shared" si="0"/>
        <v>50</v>
      </c>
      <c r="G7" s="12">
        <v>0</v>
      </c>
      <c r="H7" s="12">
        <v>200</v>
      </c>
      <c r="I7" s="12">
        <v>0</v>
      </c>
      <c r="J7" s="12">
        <f t="shared" si="1"/>
        <v>0</v>
      </c>
      <c r="K7" s="12">
        <f t="shared" si="2"/>
        <v>350</v>
      </c>
      <c r="L7" s="13" t="s">
        <v>20</v>
      </c>
      <c r="M7" s="13" t="s">
        <v>21</v>
      </c>
      <c r="N7" s="13" t="s">
        <v>2</v>
      </c>
    </row>
    <row r="8" spans="1:14">
      <c r="A8" s="11">
        <v>4</v>
      </c>
      <c r="B8" s="11" t="s">
        <v>17</v>
      </c>
      <c r="C8" s="11" t="s">
        <v>2</v>
      </c>
      <c r="D8" s="11" t="s">
        <v>25</v>
      </c>
      <c r="E8" s="12">
        <v>401</v>
      </c>
      <c r="F8" s="12">
        <f t="shared" si="0"/>
        <v>100</v>
      </c>
      <c r="G8" s="12">
        <v>0</v>
      </c>
      <c r="H8" s="12">
        <v>250</v>
      </c>
      <c r="I8" s="12">
        <v>0</v>
      </c>
      <c r="J8" s="12">
        <f t="shared" si="1"/>
        <v>0</v>
      </c>
      <c r="K8" s="12">
        <f t="shared" si="2"/>
        <v>600</v>
      </c>
      <c r="L8" s="13" t="s">
        <v>20</v>
      </c>
      <c r="M8" s="13" t="s">
        <v>21</v>
      </c>
      <c r="N8" s="13" t="s">
        <v>2</v>
      </c>
    </row>
    <row r="9" spans="1:14">
      <c r="A9" s="11">
        <v>5</v>
      </c>
      <c r="B9" s="11" t="s">
        <v>17</v>
      </c>
      <c r="C9" s="11" t="s">
        <v>2</v>
      </c>
      <c r="D9" s="11" t="s">
        <v>26</v>
      </c>
      <c r="E9" s="12">
        <v>501</v>
      </c>
      <c r="F9" s="12">
        <f t="shared" si="0"/>
        <v>100</v>
      </c>
      <c r="G9" s="12">
        <v>0</v>
      </c>
      <c r="H9" s="12">
        <v>300</v>
      </c>
      <c r="I9" s="12">
        <v>0</v>
      </c>
      <c r="J9" s="12">
        <f t="shared" si="1"/>
        <v>0</v>
      </c>
      <c r="K9" s="12">
        <f t="shared" si="2"/>
        <v>900</v>
      </c>
      <c r="L9" s="13" t="s">
        <v>20</v>
      </c>
      <c r="M9" s="13" t="s">
        <v>21</v>
      </c>
      <c r="N9" s="13" t="s">
        <v>2</v>
      </c>
    </row>
    <row r="10" ht="28.5" spans="1:14">
      <c r="A10" s="14">
        <v>6</v>
      </c>
      <c r="B10" s="14" t="s">
        <v>27</v>
      </c>
      <c r="C10" s="14" t="s">
        <v>28</v>
      </c>
      <c r="D10" s="14" t="s">
        <v>29</v>
      </c>
      <c r="E10" s="15">
        <v>901</v>
      </c>
      <c r="F10" s="15">
        <f t="shared" si="0"/>
        <v>400</v>
      </c>
      <c r="G10" s="15">
        <v>20</v>
      </c>
      <c r="H10" s="15">
        <v>1000</v>
      </c>
      <c r="I10" s="15">
        <v>1</v>
      </c>
      <c r="J10" s="15">
        <f t="shared" si="1"/>
        <v>20</v>
      </c>
      <c r="K10" s="15">
        <f t="shared" si="2"/>
        <v>1900</v>
      </c>
      <c r="L10" s="16" t="s">
        <v>30</v>
      </c>
      <c r="M10" s="16" t="s">
        <v>21</v>
      </c>
      <c r="N10" s="16" t="s">
        <v>31</v>
      </c>
    </row>
    <row r="11" spans="1:14">
      <c r="A11" s="14">
        <v>7</v>
      </c>
      <c r="B11" s="14" t="s">
        <v>27</v>
      </c>
      <c r="C11" s="14" t="s">
        <v>28</v>
      </c>
      <c r="D11" s="14" t="s">
        <v>32</v>
      </c>
      <c r="E11" s="15">
        <v>1501</v>
      </c>
      <c r="F11" s="15">
        <f t="shared" si="0"/>
        <v>600</v>
      </c>
      <c r="G11" s="15">
        <v>50</v>
      </c>
      <c r="H11" s="15">
        <v>1500</v>
      </c>
      <c r="I11" s="15">
        <v>0</v>
      </c>
      <c r="J11" s="15">
        <f t="shared" si="1"/>
        <v>70</v>
      </c>
      <c r="K11" s="15">
        <f t="shared" si="2"/>
        <v>3400</v>
      </c>
      <c r="L11" s="16" t="s">
        <v>33</v>
      </c>
      <c r="M11" s="16" t="s">
        <v>21</v>
      </c>
      <c r="N11" s="16" t="s">
        <v>2</v>
      </c>
    </row>
    <row r="12" spans="1:14">
      <c r="A12" s="14">
        <v>8</v>
      </c>
      <c r="B12" s="14" t="s">
        <v>27</v>
      </c>
      <c r="C12" s="14" t="s">
        <v>28</v>
      </c>
      <c r="D12" s="14" t="s">
        <v>34</v>
      </c>
      <c r="E12" s="15">
        <v>2101</v>
      </c>
      <c r="F12" s="15">
        <f t="shared" si="0"/>
        <v>600</v>
      </c>
      <c r="G12" s="15">
        <v>200</v>
      </c>
      <c r="H12" s="15">
        <v>2000</v>
      </c>
      <c r="I12" s="15">
        <v>0</v>
      </c>
      <c r="J12" s="15">
        <f t="shared" si="1"/>
        <v>270</v>
      </c>
      <c r="K12" s="15">
        <f t="shared" si="2"/>
        <v>5400</v>
      </c>
      <c r="L12" s="16" t="s">
        <v>35</v>
      </c>
      <c r="M12" s="16" t="s">
        <v>21</v>
      </c>
      <c r="N12" s="16" t="s">
        <v>2</v>
      </c>
    </row>
    <row r="13" spans="1:14">
      <c r="A13" s="14">
        <v>9</v>
      </c>
      <c r="B13" s="14" t="s">
        <v>27</v>
      </c>
      <c r="C13" s="14" t="s">
        <v>28</v>
      </c>
      <c r="D13" s="14" t="s">
        <v>36</v>
      </c>
      <c r="E13" s="15">
        <v>3901</v>
      </c>
      <c r="F13" s="15">
        <f t="shared" si="0"/>
        <v>1800</v>
      </c>
      <c r="G13" s="15">
        <v>500</v>
      </c>
      <c r="H13" s="15">
        <v>2500</v>
      </c>
      <c r="I13" s="15">
        <v>0</v>
      </c>
      <c r="J13" s="15">
        <f t="shared" si="1"/>
        <v>770</v>
      </c>
      <c r="K13" s="15">
        <f t="shared" si="2"/>
        <v>7900</v>
      </c>
      <c r="L13" s="16" t="s">
        <v>37</v>
      </c>
      <c r="M13" s="16" t="s">
        <v>21</v>
      </c>
      <c r="N13" s="16" t="s">
        <v>2</v>
      </c>
    </row>
    <row r="14" spans="1:14">
      <c r="A14" s="14">
        <v>10</v>
      </c>
      <c r="B14" s="14" t="s">
        <v>27</v>
      </c>
      <c r="C14" s="14" t="s">
        <v>28</v>
      </c>
      <c r="D14" s="14" t="s">
        <v>38</v>
      </c>
      <c r="E14" s="15">
        <v>6101</v>
      </c>
      <c r="F14" s="15">
        <f t="shared" si="0"/>
        <v>2200</v>
      </c>
      <c r="G14" s="15">
        <v>1000</v>
      </c>
      <c r="H14" s="15">
        <v>3000</v>
      </c>
      <c r="I14" s="15">
        <v>0</v>
      </c>
      <c r="J14" s="15">
        <f t="shared" si="1"/>
        <v>1770</v>
      </c>
      <c r="K14" s="15">
        <f t="shared" si="2"/>
        <v>10900</v>
      </c>
      <c r="L14" s="16" t="s">
        <v>37</v>
      </c>
      <c r="M14" s="16" t="s">
        <v>21</v>
      </c>
      <c r="N14" s="16" t="s">
        <v>39</v>
      </c>
    </row>
    <row r="15" ht="27.75" spans="1:14">
      <c r="A15" s="17">
        <v>11</v>
      </c>
      <c r="B15" s="17" t="s">
        <v>40</v>
      </c>
      <c r="C15" s="17" t="s">
        <v>41</v>
      </c>
      <c r="D15" s="17" t="s">
        <v>42</v>
      </c>
      <c r="E15" s="18">
        <v>12101</v>
      </c>
      <c r="F15" s="18">
        <f t="shared" si="0"/>
        <v>6000</v>
      </c>
      <c r="G15" s="18">
        <v>1000</v>
      </c>
      <c r="H15" s="18">
        <v>20000</v>
      </c>
      <c r="I15" s="18">
        <v>1</v>
      </c>
      <c r="J15" s="18">
        <f t="shared" si="1"/>
        <v>2770</v>
      </c>
      <c r="K15" s="18">
        <f t="shared" si="2"/>
        <v>30900</v>
      </c>
      <c r="L15" s="19" t="s">
        <v>43</v>
      </c>
      <c r="M15" s="19" t="s">
        <v>21</v>
      </c>
      <c r="N15" s="19" t="s">
        <v>44</v>
      </c>
    </row>
    <row r="16" spans="1:14">
      <c r="A16" s="17">
        <v>12</v>
      </c>
      <c r="B16" s="17" t="s">
        <v>40</v>
      </c>
      <c r="C16" s="17" t="s">
        <v>41</v>
      </c>
      <c r="D16" s="17" t="s">
        <v>45</v>
      </c>
      <c r="E16" s="18">
        <v>35101</v>
      </c>
      <c r="F16" s="18">
        <f t="shared" si="0"/>
        <v>23000</v>
      </c>
      <c r="G16" s="18">
        <v>2000</v>
      </c>
      <c r="H16" s="18">
        <v>40000</v>
      </c>
      <c r="I16" s="18">
        <v>0</v>
      </c>
      <c r="J16" s="18">
        <f t="shared" si="1"/>
        <v>4770</v>
      </c>
      <c r="K16" s="18">
        <f t="shared" si="2"/>
        <v>70900</v>
      </c>
      <c r="L16" s="19" t="s">
        <v>46</v>
      </c>
      <c r="M16" s="19" t="s">
        <v>21</v>
      </c>
      <c r="N16" s="19" t="s">
        <v>2</v>
      </c>
    </row>
    <row r="17" spans="1:14">
      <c r="A17" s="17">
        <v>13</v>
      </c>
      <c r="B17" s="17" t="s">
        <v>40</v>
      </c>
      <c r="C17" s="17" t="s">
        <v>41</v>
      </c>
      <c r="D17" s="17" t="s">
        <v>47</v>
      </c>
      <c r="E17" s="18">
        <v>50101</v>
      </c>
      <c r="F17" s="18">
        <f t="shared" si="0"/>
        <v>15000</v>
      </c>
      <c r="G17" s="18">
        <v>5000</v>
      </c>
      <c r="H17" s="18">
        <v>60000</v>
      </c>
      <c r="I17" s="18">
        <v>0</v>
      </c>
      <c r="J17" s="18">
        <f t="shared" si="1"/>
        <v>9770</v>
      </c>
      <c r="K17" s="18">
        <f t="shared" si="2"/>
        <v>130900</v>
      </c>
      <c r="L17" s="19" t="s">
        <v>48</v>
      </c>
      <c r="M17" s="19" t="s">
        <v>21</v>
      </c>
      <c r="N17" s="19" t="s">
        <v>2</v>
      </c>
    </row>
    <row r="18" spans="1:14">
      <c r="A18" s="17">
        <v>14</v>
      </c>
      <c r="B18" s="17" t="s">
        <v>40</v>
      </c>
      <c r="C18" s="17" t="s">
        <v>41</v>
      </c>
      <c r="D18" s="17" t="s">
        <v>49</v>
      </c>
      <c r="E18" s="18">
        <v>75101</v>
      </c>
      <c r="F18" s="18">
        <f t="shared" si="0"/>
        <v>25000</v>
      </c>
      <c r="G18" s="18">
        <v>10000</v>
      </c>
      <c r="H18" s="18">
        <v>100000</v>
      </c>
      <c r="I18" s="18">
        <v>0</v>
      </c>
      <c r="J18" s="18">
        <f t="shared" si="1"/>
        <v>19770</v>
      </c>
      <c r="K18" s="18">
        <f t="shared" si="2"/>
        <v>230900</v>
      </c>
      <c r="L18" s="19" t="s">
        <v>50</v>
      </c>
      <c r="M18" s="19" t="s">
        <v>21</v>
      </c>
      <c r="N18" s="19" t="s">
        <v>2</v>
      </c>
    </row>
    <row r="19" spans="1:14">
      <c r="A19" s="17">
        <v>15</v>
      </c>
      <c r="B19" s="17" t="s">
        <v>40</v>
      </c>
      <c r="C19" s="17" t="s">
        <v>41</v>
      </c>
      <c r="D19" s="17" t="s">
        <v>51</v>
      </c>
      <c r="E19" s="18">
        <v>108101</v>
      </c>
      <c r="F19" s="18">
        <f t="shared" si="0"/>
        <v>33000</v>
      </c>
      <c r="G19" s="18">
        <v>20000</v>
      </c>
      <c r="H19" s="18">
        <v>100000</v>
      </c>
      <c r="I19" s="18">
        <v>0</v>
      </c>
      <c r="J19" s="18">
        <f t="shared" si="1"/>
        <v>39770</v>
      </c>
      <c r="K19" s="18">
        <f t="shared" si="2"/>
        <v>330900</v>
      </c>
      <c r="L19" s="19" t="s">
        <v>50</v>
      </c>
      <c r="M19" s="19" t="s">
        <v>21</v>
      </c>
      <c r="N19" s="19" t="s">
        <v>39</v>
      </c>
    </row>
    <row r="20" ht="28.5" spans="1:14">
      <c r="A20" s="20">
        <v>16</v>
      </c>
      <c r="B20" s="20" t="s">
        <v>52</v>
      </c>
      <c r="C20" s="20" t="s">
        <v>53</v>
      </c>
      <c r="D20" s="20" t="s">
        <v>54</v>
      </c>
      <c r="E20" s="21">
        <v>308101</v>
      </c>
      <c r="F20" s="21">
        <f t="shared" si="0"/>
        <v>200000</v>
      </c>
      <c r="G20" s="21">
        <v>30000</v>
      </c>
      <c r="H20" s="21">
        <v>200000</v>
      </c>
      <c r="I20" s="21">
        <v>2</v>
      </c>
      <c r="J20" s="21">
        <f t="shared" si="1"/>
        <v>69770</v>
      </c>
      <c r="K20" s="21">
        <f t="shared" si="2"/>
        <v>530900</v>
      </c>
      <c r="L20" s="22" t="s">
        <v>55</v>
      </c>
      <c r="M20" s="22" t="s">
        <v>21</v>
      </c>
      <c r="N20" s="22" t="s">
        <v>56</v>
      </c>
    </row>
    <row r="21" spans="1:14">
      <c r="A21" s="20">
        <v>17</v>
      </c>
      <c r="B21" s="20" t="s">
        <v>52</v>
      </c>
      <c r="C21" s="20" t="s">
        <v>53</v>
      </c>
      <c r="D21" s="20" t="s">
        <v>57</v>
      </c>
      <c r="E21" s="21">
        <v>508101</v>
      </c>
      <c r="F21" s="21">
        <f t="shared" si="0"/>
        <v>200000</v>
      </c>
      <c r="G21" s="21">
        <v>60000</v>
      </c>
      <c r="H21" s="21">
        <v>200000</v>
      </c>
      <c r="I21" s="21">
        <v>0</v>
      </c>
      <c r="J21" s="21">
        <f t="shared" si="1"/>
        <v>129770</v>
      </c>
      <c r="K21" s="21">
        <f t="shared" si="2"/>
        <v>730900</v>
      </c>
      <c r="L21" s="22" t="s">
        <v>58</v>
      </c>
      <c r="M21" s="22" t="s">
        <v>21</v>
      </c>
      <c r="N21" s="22" t="s">
        <v>2</v>
      </c>
    </row>
    <row r="22" spans="1:14">
      <c r="A22" s="20">
        <v>18</v>
      </c>
      <c r="B22" s="20" t="s">
        <v>52</v>
      </c>
      <c r="C22" s="20" t="s">
        <v>53</v>
      </c>
      <c r="D22" s="20" t="s">
        <v>59</v>
      </c>
      <c r="E22" s="21">
        <v>808101</v>
      </c>
      <c r="F22" s="21">
        <f t="shared" si="0"/>
        <v>300000</v>
      </c>
      <c r="G22" s="21">
        <v>90000</v>
      </c>
      <c r="H22" s="21">
        <v>200000</v>
      </c>
      <c r="I22" s="21">
        <v>0</v>
      </c>
      <c r="J22" s="21">
        <f t="shared" si="1"/>
        <v>219770</v>
      </c>
      <c r="K22" s="21">
        <f t="shared" si="2"/>
        <v>930900</v>
      </c>
      <c r="L22" s="22" t="s">
        <v>58</v>
      </c>
      <c r="M22" s="22" t="s">
        <v>21</v>
      </c>
      <c r="N22" s="22" t="s">
        <v>2</v>
      </c>
    </row>
    <row r="23" spans="1:14">
      <c r="A23" s="20">
        <v>19</v>
      </c>
      <c r="B23" s="20" t="s">
        <v>52</v>
      </c>
      <c r="C23" s="20" t="s">
        <v>53</v>
      </c>
      <c r="D23" s="20" t="s">
        <v>60</v>
      </c>
      <c r="E23" s="21">
        <v>1008101</v>
      </c>
      <c r="F23" s="21">
        <f t="shared" si="0"/>
        <v>200000</v>
      </c>
      <c r="G23" s="21">
        <v>120000</v>
      </c>
      <c r="H23" s="21">
        <v>200000</v>
      </c>
      <c r="I23" s="21">
        <v>0</v>
      </c>
      <c r="J23" s="21">
        <f t="shared" si="1"/>
        <v>339770</v>
      </c>
      <c r="K23" s="21">
        <f t="shared" si="2"/>
        <v>1130900</v>
      </c>
      <c r="L23" s="22" t="s">
        <v>58</v>
      </c>
      <c r="M23" s="22" t="s">
        <v>21</v>
      </c>
      <c r="N23" s="22" t="s">
        <v>2</v>
      </c>
    </row>
    <row r="24" spans="1:14">
      <c r="A24" s="20">
        <v>20</v>
      </c>
      <c r="B24" s="20" t="s">
        <v>52</v>
      </c>
      <c r="C24" s="20" t="s">
        <v>53</v>
      </c>
      <c r="D24" s="20" t="s">
        <v>61</v>
      </c>
      <c r="E24" s="21">
        <v>1508101</v>
      </c>
      <c r="F24" s="21">
        <f t="shared" si="0"/>
        <v>500000</v>
      </c>
      <c r="G24" s="21">
        <v>150000</v>
      </c>
      <c r="H24" s="21">
        <v>200000</v>
      </c>
      <c r="I24" s="21">
        <v>0</v>
      </c>
      <c r="J24" s="21">
        <f t="shared" si="1"/>
        <v>489770</v>
      </c>
      <c r="K24" s="21">
        <f t="shared" si="2"/>
        <v>1330900</v>
      </c>
      <c r="L24" s="22" t="s">
        <v>58</v>
      </c>
      <c r="M24" s="22" t="s">
        <v>21</v>
      </c>
      <c r="N24" s="22" t="s">
        <v>2</v>
      </c>
    </row>
    <row r="25" spans="1:14">
      <c r="A25" s="20">
        <v>21</v>
      </c>
      <c r="B25" s="20" t="s">
        <v>52</v>
      </c>
      <c r="C25" s="20" t="s">
        <v>62</v>
      </c>
      <c r="D25" s="20" t="s">
        <v>63</v>
      </c>
      <c r="E25" s="21">
        <v>2008101</v>
      </c>
      <c r="F25" s="21">
        <f t="shared" si="0"/>
        <v>500000</v>
      </c>
      <c r="G25" s="21">
        <v>200000</v>
      </c>
      <c r="H25" s="21">
        <v>400000</v>
      </c>
      <c r="I25" s="21">
        <v>0</v>
      </c>
      <c r="J25" s="21">
        <f t="shared" si="1"/>
        <v>689770</v>
      </c>
      <c r="K25" s="21">
        <f t="shared" si="2"/>
        <v>1730900</v>
      </c>
      <c r="L25" s="22" t="s">
        <v>58</v>
      </c>
      <c r="M25" s="22" t="s">
        <v>21</v>
      </c>
      <c r="N25" s="22" t="s">
        <v>64</v>
      </c>
    </row>
    <row r="26" spans="1:14">
      <c r="A26" s="20">
        <v>22</v>
      </c>
      <c r="B26" s="20" t="s">
        <v>52</v>
      </c>
      <c r="C26" s="20" t="s">
        <v>62</v>
      </c>
      <c r="D26" s="20" t="s">
        <v>65</v>
      </c>
      <c r="E26" s="21">
        <v>3008101</v>
      </c>
      <c r="F26" s="21">
        <f t="shared" si="0"/>
        <v>1000000</v>
      </c>
      <c r="G26" s="21">
        <v>250000</v>
      </c>
      <c r="H26" s="21">
        <v>500000</v>
      </c>
      <c r="I26" s="21">
        <v>0</v>
      </c>
      <c r="J26" s="21">
        <f t="shared" si="1"/>
        <v>939770</v>
      </c>
      <c r="K26" s="21">
        <f t="shared" si="2"/>
        <v>2230900</v>
      </c>
      <c r="L26" s="22" t="s">
        <v>58</v>
      </c>
      <c r="M26" s="22" t="s">
        <v>21</v>
      </c>
      <c r="N26" s="22" t="s">
        <v>2</v>
      </c>
    </row>
    <row r="27" spans="1:14">
      <c r="A27" s="20">
        <v>23</v>
      </c>
      <c r="B27" s="20" t="s">
        <v>52</v>
      </c>
      <c r="C27" s="20" t="s">
        <v>62</v>
      </c>
      <c r="D27" s="20" t="s">
        <v>66</v>
      </c>
      <c r="E27" s="21">
        <v>4008101</v>
      </c>
      <c r="F27" s="21">
        <f t="shared" si="0"/>
        <v>1000000</v>
      </c>
      <c r="G27" s="21">
        <v>300000</v>
      </c>
      <c r="H27" s="21">
        <v>600000</v>
      </c>
      <c r="I27" s="21">
        <v>0</v>
      </c>
      <c r="J27" s="21">
        <f t="shared" si="1"/>
        <v>1239770</v>
      </c>
      <c r="K27" s="21">
        <f t="shared" si="2"/>
        <v>2830900</v>
      </c>
      <c r="L27" s="22" t="s">
        <v>58</v>
      </c>
      <c r="M27" s="22" t="s">
        <v>67</v>
      </c>
      <c r="N27" s="22" t="s">
        <v>2</v>
      </c>
    </row>
    <row r="28" spans="1:14">
      <c r="A28" s="20">
        <v>24</v>
      </c>
      <c r="B28" s="20" t="s">
        <v>52</v>
      </c>
      <c r="C28" s="20" t="s">
        <v>62</v>
      </c>
      <c r="D28" s="20" t="s">
        <v>68</v>
      </c>
      <c r="E28" s="21">
        <v>5008101</v>
      </c>
      <c r="F28" s="21">
        <f t="shared" si="0"/>
        <v>1000000</v>
      </c>
      <c r="G28" s="21">
        <v>350000</v>
      </c>
      <c r="H28" s="21">
        <v>700000</v>
      </c>
      <c r="I28" s="21">
        <v>0</v>
      </c>
      <c r="J28" s="21">
        <f t="shared" si="1"/>
        <v>1589770</v>
      </c>
      <c r="K28" s="21">
        <f t="shared" si="2"/>
        <v>3530900</v>
      </c>
      <c r="L28" s="22" t="s">
        <v>58</v>
      </c>
      <c r="M28" s="22" t="s">
        <v>67</v>
      </c>
      <c r="N28" s="22" t="s">
        <v>2</v>
      </c>
    </row>
    <row r="29" spans="1:14">
      <c r="A29" s="20">
        <v>25</v>
      </c>
      <c r="B29" s="20" t="s">
        <v>52</v>
      </c>
      <c r="C29" s="20" t="s">
        <v>62</v>
      </c>
      <c r="D29" s="20" t="s">
        <v>69</v>
      </c>
      <c r="E29" s="21">
        <v>6008101</v>
      </c>
      <c r="F29" s="21">
        <f t="shared" si="0"/>
        <v>1000000</v>
      </c>
      <c r="G29" s="21">
        <v>400000</v>
      </c>
      <c r="H29" s="21">
        <v>800000</v>
      </c>
      <c r="I29" s="21">
        <v>0</v>
      </c>
      <c r="J29" s="21">
        <f t="shared" si="1"/>
        <v>1989770</v>
      </c>
      <c r="K29" s="21">
        <f t="shared" si="2"/>
        <v>4330900</v>
      </c>
      <c r="L29" s="22" t="s">
        <v>58</v>
      </c>
      <c r="M29" s="22" t="s">
        <v>67</v>
      </c>
      <c r="N29" s="22" t="s">
        <v>70</v>
      </c>
    </row>
    <row r="31" ht="32" customHeight="1" spans="1:14">
      <c r="A31" s="23" t="s">
        <v>71</v>
      </c>
      <c r="B31" s="23"/>
      <c r="C31" s="23"/>
      <c r="D31" s="23"/>
      <c r="E31" s="23"/>
      <c r="F31" s="23"/>
      <c r="G31" s="24">
        <f>SUM(G5:G29)</f>
        <v>1989770</v>
      </c>
      <c r="H31" s="24">
        <f>SUM(H5:H29)</f>
        <v>4330900</v>
      </c>
      <c r="I31" s="24">
        <f>SUM(I5:I29)</f>
        <v>4</v>
      </c>
      <c r="J31" s="23" t="s">
        <v>72</v>
      </c>
      <c r="K31" s="23"/>
      <c r="L31" s="23"/>
      <c r="M31" s="23"/>
      <c r="N31" s="23"/>
    </row>
  </sheetData>
  <mergeCells count="4">
    <mergeCell ref="A1:N1"/>
    <mergeCell ref="A2:N2"/>
    <mergeCell ref="A31:F31"/>
    <mergeCell ref="J31:N3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:G1"/>
    </sheetView>
  </sheetViews>
  <sheetFormatPr defaultColWidth="9" defaultRowHeight="14.25" outlineLevelCol="6"/>
  <cols>
    <col min="1" max="1" width="18" customWidth="1"/>
    <col min="2" max="2" width="36" customWidth="1"/>
    <col min="3" max="3" width="14" customWidth="1"/>
    <col min="4" max="4" width="30" customWidth="1"/>
    <col min="5" max="5" width="65" customWidth="1"/>
    <col min="6" max="6" width="34" customWidth="1"/>
    <col min="7" max="7" width="46" customWidth="1"/>
  </cols>
  <sheetData>
    <row r="1" ht="30" customHeight="1" spans="1:7">
      <c r="A1" s="4" t="s">
        <v>73</v>
      </c>
      <c r="B1" s="4"/>
      <c r="C1" s="4"/>
      <c r="D1" s="4"/>
      <c r="E1" s="4"/>
      <c r="F1" s="4"/>
      <c r="G1" s="4"/>
    </row>
    <row r="3" ht="30" customHeight="1" spans="1:7">
      <c r="A3" s="5" t="s">
        <v>74</v>
      </c>
      <c r="B3" s="5" t="s">
        <v>75</v>
      </c>
      <c r="C3" s="5" t="s">
        <v>76</v>
      </c>
      <c r="D3" s="5" t="s">
        <v>77</v>
      </c>
      <c r="E3" s="5" t="s">
        <v>78</v>
      </c>
      <c r="F3" s="5" t="s">
        <v>79</v>
      </c>
      <c r="G3" s="5" t="s">
        <v>80</v>
      </c>
    </row>
    <row r="4" spans="1:7">
      <c r="A4" s="6" t="s">
        <v>81</v>
      </c>
      <c r="B4" s="6" t="s">
        <v>82</v>
      </c>
      <c r="C4" s="6" t="s">
        <v>83</v>
      </c>
      <c r="D4" s="6" t="s">
        <v>84</v>
      </c>
      <c r="E4" s="6" t="s">
        <v>85</v>
      </c>
      <c r="F4" s="6" t="s">
        <v>86</v>
      </c>
      <c r="G4" s="6" t="s">
        <v>87</v>
      </c>
    </row>
    <row r="5" ht="28.5" spans="1:7">
      <c r="A5" s="7" t="s">
        <v>81</v>
      </c>
      <c r="B5" s="7" t="s">
        <v>29</v>
      </c>
      <c r="C5" s="7" t="s">
        <v>88</v>
      </c>
      <c r="D5" s="7" t="s">
        <v>89</v>
      </c>
      <c r="E5" s="7" t="s">
        <v>90</v>
      </c>
      <c r="F5" s="7" t="s">
        <v>91</v>
      </c>
      <c r="G5" s="7" t="s">
        <v>92</v>
      </c>
    </row>
    <row r="6" ht="28.5" spans="1:7">
      <c r="A6" s="6" t="s">
        <v>81</v>
      </c>
      <c r="B6" s="6" t="s">
        <v>32</v>
      </c>
      <c r="C6" s="6" t="s">
        <v>93</v>
      </c>
      <c r="D6" s="6" t="s">
        <v>94</v>
      </c>
      <c r="E6" s="6" t="s">
        <v>95</v>
      </c>
      <c r="F6" s="6" t="s">
        <v>96</v>
      </c>
      <c r="G6" s="6" t="s">
        <v>2</v>
      </c>
    </row>
    <row r="7" ht="28.5" spans="1:7">
      <c r="A7" s="7" t="s">
        <v>81</v>
      </c>
      <c r="B7" s="7" t="s">
        <v>34</v>
      </c>
      <c r="C7" s="7" t="s">
        <v>97</v>
      </c>
      <c r="D7" s="7" t="s">
        <v>98</v>
      </c>
      <c r="E7" s="7" t="s">
        <v>99</v>
      </c>
      <c r="F7" s="7" t="s">
        <v>96</v>
      </c>
      <c r="G7" s="7" t="s">
        <v>2</v>
      </c>
    </row>
    <row r="8" ht="28.5" spans="1:7">
      <c r="A8" s="6" t="s">
        <v>81</v>
      </c>
      <c r="B8" s="6" t="s">
        <v>100</v>
      </c>
      <c r="C8" s="6" t="s">
        <v>101</v>
      </c>
      <c r="D8" s="6" t="s">
        <v>102</v>
      </c>
      <c r="E8" s="6" t="s">
        <v>103</v>
      </c>
      <c r="F8" s="6" t="s">
        <v>104</v>
      </c>
      <c r="G8" s="6" t="s">
        <v>2</v>
      </c>
    </row>
    <row r="9" ht="28.5" spans="1:7">
      <c r="A9" s="7" t="s">
        <v>40</v>
      </c>
      <c r="B9" s="7" t="s">
        <v>105</v>
      </c>
      <c r="C9" s="7" t="s">
        <v>83</v>
      </c>
      <c r="D9" s="7" t="s">
        <v>106</v>
      </c>
      <c r="E9" s="7" t="s">
        <v>107</v>
      </c>
      <c r="F9" s="7" t="s">
        <v>108</v>
      </c>
      <c r="G9" s="7" t="s">
        <v>109</v>
      </c>
    </row>
    <row r="10" ht="28.5" spans="1:7">
      <c r="A10" s="6" t="s">
        <v>40</v>
      </c>
      <c r="B10" s="6" t="s">
        <v>42</v>
      </c>
      <c r="C10" s="6" t="s">
        <v>88</v>
      </c>
      <c r="D10" s="6" t="s">
        <v>110</v>
      </c>
      <c r="E10" s="6" t="s">
        <v>111</v>
      </c>
      <c r="F10" s="6" t="s">
        <v>112</v>
      </c>
      <c r="G10" s="6" t="s">
        <v>113</v>
      </c>
    </row>
    <row r="11" ht="28.5" spans="1:7">
      <c r="A11" s="7" t="s">
        <v>40</v>
      </c>
      <c r="B11" s="7" t="s">
        <v>45</v>
      </c>
      <c r="C11" s="7" t="s">
        <v>93</v>
      </c>
      <c r="D11" s="7" t="s">
        <v>114</v>
      </c>
      <c r="E11" s="7" t="s">
        <v>115</v>
      </c>
      <c r="F11" s="7" t="s">
        <v>116</v>
      </c>
      <c r="G11" s="7" t="s">
        <v>2</v>
      </c>
    </row>
    <row r="12" ht="28.5" spans="1:7">
      <c r="A12" s="6" t="s">
        <v>40</v>
      </c>
      <c r="B12" s="6" t="s">
        <v>47</v>
      </c>
      <c r="C12" s="6" t="s">
        <v>97</v>
      </c>
      <c r="D12" s="6" t="s">
        <v>117</v>
      </c>
      <c r="E12" s="6" t="s">
        <v>118</v>
      </c>
      <c r="F12" s="6" t="s">
        <v>116</v>
      </c>
      <c r="G12" s="6" t="s">
        <v>2</v>
      </c>
    </row>
    <row r="13" ht="28.5" spans="1:7">
      <c r="A13" s="7" t="s">
        <v>40</v>
      </c>
      <c r="B13" s="7" t="s">
        <v>119</v>
      </c>
      <c r="C13" s="7" t="s">
        <v>101</v>
      </c>
      <c r="D13" s="7" t="s">
        <v>120</v>
      </c>
      <c r="E13" s="7" t="s">
        <v>121</v>
      </c>
      <c r="F13" s="7" t="s">
        <v>122</v>
      </c>
      <c r="G13" s="7" t="s">
        <v>2</v>
      </c>
    </row>
    <row r="14" ht="28.5" spans="1:7">
      <c r="A14" s="6" t="s">
        <v>52</v>
      </c>
      <c r="B14" s="6" t="s">
        <v>123</v>
      </c>
      <c r="C14" s="6" t="s">
        <v>83</v>
      </c>
      <c r="D14" s="6" t="s">
        <v>124</v>
      </c>
      <c r="E14" s="6" t="s">
        <v>125</v>
      </c>
      <c r="F14" s="6" t="s">
        <v>126</v>
      </c>
      <c r="G14" s="6" t="s">
        <v>127</v>
      </c>
    </row>
    <row r="15" ht="27.75" spans="1:7">
      <c r="A15" s="7" t="s">
        <v>52</v>
      </c>
      <c r="B15" s="7" t="s">
        <v>128</v>
      </c>
      <c r="C15" s="7" t="s">
        <v>129</v>
      </c>
      <c r="D15" s="7" t="s">
        <v>124</v>
      </c>
      <c r="E15" s="7" t="s">
        <v>130</v>
      </c>
      <c r="F15" s="7" t="s">
        <v>131</v>
      </c>
      <c r="G15" s="7" t="s">
        <v>132</v>
      </c>
    </row>
  </sheetData>
  <mergeCells count="1">
    <mergeCell ref="A1:G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:D1"/>
    </sheetView>
  </sheetViews>
  <sheetFormatPr defaultColWidth="9" defaultRowHeight="14.25" outlineLevelCol="3"/>
  <cols>
    <col min="1" max="1" width="18" customWidth="1"/>
    <col min="2" max="2" width="52" customWidth="1"/>
    <col min="3" max="3" width="18" customWidth="1"/>
    <col min="4" max="4" width="75" customWidth="1"/>
  </cols>
  <sheetData>
    <row r="1" ht="30" customHeight="1" spans="1:4">
      <c r="A1" s="1" t="s">
        <v>133</v>
      </c>
      <c r="B1" s="1"/>
      <c r="C1" s="1"/>
      <c r="D1" s="1"/>
    </row>
    <row r="3" ht="15" spans="1:4">
      <c r="A3" s="2" t="s">
        <v>134</v>
      </c>
      <c r="B3" s="2" t="s">
        <v>135</v>
      </c>
      <c r="C3" s="2" t="s">
        <v>136</v>
      </c>
      <c r="D3" s="2" t="s">
        <v>137</v>
      </c>
    </row>
    <row r="4" spans="1:4">
      <c r="A4" s="3" t="s">
        <v>21</v>
      </c>
      <c r="B4" s="3" t="s">
        <v>138</v>
      </c>
      <c r="C4" s="3" t="s">
        <v>139</v>
      </c>
      <c r="D4" s="3" t="s">
        <v>140</v>
      </c>
    </row>
    <row r="5" spans="1:4">
      <c r="A5" s="3" t="s">
        <v>67</v>
      </c>
      <c r="B5" s="3" t="s">
        <v>141</v>
      </c>
      <c r="C5" s="3" t="s">
        <v>139</v>
      </c>
      <c r="D5" s="3" t="s">
        <v>142</v>
      </c>
    </row>
    <row r="6" spans="1:4">
      <c r="A6" s="3" t="s">
        <v>143</v>
      </c>
      <c r="B6" s="3" t="s">
        <v>144</v>
      </c>
      <c r="C6" s="3" t="s">
        <v>145</v>
      </c>
      <c r="D6" s="3" t="s">
        <v>146</v>
      </c>
    </row>
    <row r="7" spans="1:4">
      <c r="A7" s="3" t="s">
        <v>147</v>
      </c>
      <c r="B7" s="3" t="s">
        <v>148</v>
      </c>
      <c r="C7" s="3" t="s">
        <v>149</v>
      </c>
      <c r="D7" s="3" t="s">
        <v>150</v>
      </c>
    </row>
    <row r="8" spans="1:4">
      <c r="A8" s="3" t="s">
        <v>151</v>
      </c>
      <c r="B8" s="3" t="s">
        <v>152</v>
      </c>
      <c r="C8" s="3" t="s">
        <v>145</v>
      </c>
      <c r="D8" s="3" t="s">
        <v>153</v>
      </c>
    </row>
    <row r="9" spans="1:4">
      <c r="A9" s="3" t="s">
        <v>154</v>
      </c>
      <c r="B9" s="3" t="s">
        <v>155</v>
      </c>
      <c r="C9" s="3" t="s">
        <v>156</v>
      </c>
      <c r="D9" s="3" t="s">
        <v>157</v>
      </c>
    </row>
    <row r="10" spans="1:4">
      <c r="A10" s="3" t="s">
        <v>158</v>
      </c>
      <c r="B10" s="3" t="s">
        <v>159</v>
      </c>
      <c r="C10" s="3" t="s">
        <v>160</v>
      </c>
      <c r="D10" s="3" t="s">
        <v>161</v>
      </c>
    </row>
    <row r="11" spans="1:4">
      <c r="A11" s="3" t="s">
        <v>162</v>
      </c>
      <c r="B11" s="3" t="s">
        <v>163</v>
      </c>
      <c r="C11" s="3" t="s">
        <v>164</v>
      </c>
      <c r="D11" s="3" t="s">
        <v>165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升级线总表</vt:lpstr>
      <vt:lpstr>技能文本</vt:lpstr>
      <vt:lpstr>提取说明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臧孝飞</cp:lastModifiedBy>
  <dcterms:created xsi:type="dcterms:W3CDTF">2026-07-30T04:56:06Z</dcterms:created>
  <dcterms:modified xsi:type="dcterms:W3CDTF">2026-07-30T04:56:28Z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8724D92180424AAA85DB002FCBAE2D4B_12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