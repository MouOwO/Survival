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20" windowHeight="12765" activeTab="4"/>
  </bookViews>
  <sheets>
    <sheet name="路线总览" sheetId="1" r:id="rId1"/>
    <sheet name="死亡路线" sheetId="2" r:id="rId2"/>
    <sheet name="魔能路线" sheetId="3" r:id="rId3"/>
    <sheet name="雷电路线" sheetId="4" r:id="rId4"/>
    <sheet name="赏金路线" sheetId="5" r:id="rId5"/>
    <sheet name="多重路线" sheetId="6" r:id="rId6"/>
    <sheet name="冰霜路线" sheetId="7" r:id="rId7"/>
    <sheet name="防空路线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<sst xmlns="http://schemas.openxmlformats.org/spreadsheetml/2006/main" count="1498" uniqueCount="411">
  <si>
    <t>全部箭塔成长路线：分路线录像提取总览</t>
  </si>
  <si>
    <t>每条成长路线已经单独放在一个工作表中。数值口径：攻击力取升级完成后的首个稳定读数；升级成本按“升级到本级”的金币/木材/人口记录；已知每秒+4攻击力不计入基础成长表。</t>
  </si>
  <si>
    <t>序号</t>
  </si>
  <si>
    <t>成长路线</t>
  </si>
  <si>
    <t>N阶段</t>
  </si>
  <si>
    <t>R阶段</t>
  </si>
  <si>
    <t>最终阶段</t>
  </si>
  <si>
    <t>录像来源</t>
  </si>
  <si>
    <t>时间范围</t>
  </si>
  <si>
    <t>工作表</t>
  </si>
  <si>
    <t>箭塔 → 死亡之塔 → 碎骨重炮 → 死神榴弹炮</t>
  </si>
  <si>
    <t>死亡之塔</t>
  </si>
  <si>
    <t>碎骨重炮</t>
  </si>
  <si>
    <t>死神榴弹炮</t>
  </si>
  <si>
    <t>War3 2026-07-19 12-34-30-146.mp4；War3 2026-07-19 12-36-23-614.mp4</t>
  </si>
  <si>
    <t>完整两段录像</t>
  </si>
  <si>
    <t>死亡路线</t>
  </si>
  <si>
    <t>箭塔 → 神秘之塔 → 魔能炮 → 魔能之眼</t>
  </si>
  <si>
    <t>神秘之塔</t>
  </si>
  <si>
    <t>魔能炮</t>
  </si>
  <si>
    <t>魔能之眼</t>
  </si>
  <si>
    <t>bandicam 2026-07-19 13-06-14-620_20260719_14204603.mp4</t>
  </si>
  <si>
    <t>约24秒—145秒</t>
  </si>
  <si>
    <t>魔能路线</t>
  </si>
  <si>
    <t>箭塔 → 闪电塔 → 闪电魔塔 → 雷电扩散</t>
  </si>
  <si>
    <t>闪电塔</t>
  </si>
  <si>
    <t>闪电魔塔</t>
  </si>
  <si>
    <t>雷电扩散</t>
  </si>
  <si>
    <t>约147秒—253秒</t>
  </si>
  <si>
    <t>雷电路线</t>
  </si>
  <si>
    <t>箭塔 → 机枪塔 → 赏金机枪 → 爆矢加特林</t>
  </si>
  <si>
    <t>机枪塔</t>
  </si>
  <si>
    <t>赏金机枪</t>
  </si>
  <si>
    <t>爆矢加特林</t>
  </si>
  <si>
    <t>约255秒—335秒</t>
  </si>
  <si>
    <t>赏金路线</t>
  </si>
  <si>
    <t>箭塔 → 多重塔 → 穿透弩炮 → 炙热巨箭塔</t>
  </si>
  <si>
    <t>多重塔</t>
  </si>
  <si>
    <t>穿透弩炮</t>
  </si>
  <si>
    <t>炙热巨箭塔</t>
  </si>
  <si>
    <t>约336秒—411秒</t>
  </si>
  <si>
    <t>多重路线</t>
  </si>
  <si>
    <t>箭塔 → 冰霜之塔 → 寒冰尖塔 → 极地方尖碑</t>
  </si>
  <si>
    <t>冰霜之塔</t>
  </si>
  <si>
    <t>寒冰尖塔</t>
  </si>
  <si>
    <t>极地方尖碑</t>
  </si>
  <si>
    <t>约411秒—504秒</t>
  </si>
  <si>
    <t>冰霜路线</t>
  </si>
  <si>
    <t>箭塔 → 防空炮 → 防空火炮 → 空域霸主</t>
  </si>
  <si>
    <t>防空炮</t>
  </si>
  <si>
    <t>防空火炮</t>
  </si>
  <si>
    <t>空域霸主</t>
  </si>
  <si>
    <t>约504秒—600秒</t>
  </si>
  <si>
    <t>防空路线</t>
  </si>
  <si>
    <t>共同数值与提取边界</t>
  </si>
  <si>
    <t>攻击/成本规律</t>
  </si>
  <si>
    <t>七条路线在箭塔、N、R、SR/SSR各级使用同一组攻击力和升级成本；差别集中在塔名与特殊技能。</t>
  </si>
  <si>
    <t>每秒+4</t>
  </si>
  <si>
    <t>录像同级停留期间面板没有出现可见的+4跳变，本表采用升级完成后的首个稳定数值，不额外计入时间成长。</t>
  </si>
  <si>
    <t>箭塔1-2</t>
  </si>
  <si>
    <t>箭塔1-1为172、1-2为251，录像差值为+79；保留实录，不擅自修整成整十数。</t>
  </si>
  <si>
    <t>攻击尾数</t>
  </si>
  <si>
    <t>中高等级攻击力普遍以01结尾，可能与War3攻击骰/显示机制有关；本表保留原显示值，差值不受共同尾数影响。</t>
  </si>
  <si>
    <t>技能等级偏移</t>
  </si>
  <si>
    <t>多条路线的转职按钮先展示基础值，而建成该路线LV1后技能直接显示等级2；两种文本均在各路线技能表中注明。</t>
  </si>
  <si>
    <t>来源：War3 2026-07-19 12-34-30-146.mp4；War3 2026-07-19 12-36-23-614.mp4；时间范围：完整两段录像。攻击力为升级完成后的首个稳定显示值；忽略已知每秒+4攻击力成长。金币/木材/人口均按“升到本级”记录。</t>
  </si>
  <si>
    <t>阶段</t>
  </si>
  <si>
    <t>稀有度</t>
  </si>
  <si>
    <t>等级/名称</t>
  </si>
  <si>
    <t>录像攻击力</t>
  </si>
  <si>
    <t>较上一级提升</t>
  </si>
  <si>
    <t>升到本级金币</t>
  </si>
  <si>
    <t>升到本级木材</t>
  </si>
  <si>
    <t>人口增量</t>
  </si>
  <si>
    <t>累计金币</t>
  </si>
  <si>
    <t>累计木材</t>
  </si>
  <si>
    <t>当前特殊技能</t>
  </si>
  <si>
    <t>备注</t>
  </si>
  <si>
    <t>特殊技能文本与成长规律</t>
  </si>
  <si>
    <t>箭塔</t>
  </si>
  <si>
    <t/>
  </si>
  <si>
    <t>箭塔1-1</t>
  </si>
  <si>
    <t>—</t>
  </si>
  <si>
    <t>无特殊技能展示</t>
  </si>
  <si>
    <t>初建成本：木50</t>
  </si>
  <si>
    <t>技能名称</t>
  </si>
  <si>
    <t>文本来源</t>
  </si>
  <si>
    <t>等级/数值</t>
  </si>
  <si>
    <t>文本描述</t>
  </si>
  <si>
    <t>升级规律</t>
  </si>
  <si>
    <t>箭塔1-1→1-2实录差值为+79</t>
  </si>
  <si>
    <t>致命一击</t>
  </si>
  <si>
    <t>转职按钮</t>
  </si>
  <si>
    <t>基础说明</t>
  </si>
  <si>
    <t>攻击有10%几率触发5倍暴击，每次升级几率+3%</t>
  </si>
  <si>
    <t>建成死亡之塔LV1后实际直接显示技能等级1、概率13%</t>
  </si>
  <si>
    <t>等级编号已校正：塔LV1对应技能LV1</t>
  </si>
  <si>
    <t>箭塔1-3</t>
  </si>
  <si>
    <t>实际技能</t>
  </si>
  <si>
    <t>Lv1→Lv5</t>
  </si>
  <si>
    <t>给予13%/16%/19%/22%的概率使攻击造成5倍于一般攻击的伤害值。每次升级几率+3%</t>
  </si>
  <si>
    <t>死亡之塔LV4达到Lv5；LV5不再提高</t>
  </si>
  <si>
    <t>录像直接确认</t>
  </si>
  <si>
    <t>箭塔1-4</t>
  </si>
  <si>
    <t>每攻击10次，下一次攻击必定暴击且暴击倍数提高为10倍</t>
  </si>
  <si>
    <t>每次升级攻击需求次数-1</t>
  </si>
  <si>
    <t>建成碎骨重炮LV1后实际直接显示技能等级1、每9次</t>
  </si>
  <si>
    <t>箭塔1-5</t>
  </si>
  <si>
    <t>每攻击9/8/7/6次，下一次攻击必定暴击且暴击倍数提高为10倍</t>
  </si>
  <si>
    <t>碎骨重炮LV4达到Lv5；LV5不再提高</t>
  </si>
  <si>
    <t>N</t>
  </si>
  <si>
    <r>
      <t>死亡之塔</t>
    </r>
    <r>
      <rPr>
        <sz val="11"/>
        <rFont val="Carlito"/>
        <charset val="134"/>
      </rPr>
      <t>LV1</t>
    </r>
  </si>
  <si>
    <r>
      <t>致命一击</t>
    </r>
    <r>
      <rPr>
        <sz val="11"/>
        <rFont val="Carlito"/>
        <charset val="134"/>
      </rPr>
      <t>Lv1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13%</t>
    </r>
    <r>
      <rPr>
        <sz val="11"/>
        <rFont val="宋体"/>
        <charset val="134"/>
      </rPr>
      <t>概率造成</t>
    </r>
    <r>
      <rPr>
        <sz val="11"/>
        <rFont val="Carlito"/>
        <charset val="134"/>
      </rPr>
      <t>5</t>
    </r>
    <r>
      <rPr>
        <sz val="11"/>
        <rFont val="宋体"/>
        <charset val="134"/>
      </rPr>
      <t>倍暴击</t>
    </r>
  </si>
  <si>
    <t>N阶段转职；人口+1</t>
  </si>
  <si>
    <t>Lv1</t>
  </si>
  <si>
    <t>每次暴击对半径300码范围造成该次暴击伤害200%的范围伤害</t>
  </si>
  <si>
    <t>死神榴弹炮LV1至LV10保持不变</t>
  </si>
  <si>
    <t>死亡之塔LV2</t>
  </si>
  <si>
    <r>
      <t>致命一击</t>
    </r>
    <r>
      <rPr>
        <sz val="11"/>
        <rFont val="Carlito"/>
        <charset val="134"/>
      </rPr>
      <t>Lv2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16%</t>
    </r>
    <r>
      <rPr>
        <sz val="11"/>
        <rFont val="宋体"/>
        <charset val="134"/>
      </rPr>
      <t>概率造成</t>
    </r>
    <r>
      <rPr>
        <sz val="11"/>
        <rFont val="Carlito"/>
        <charset val="134"/>
      </rPr>
      <t>5</t>
    </r>
    <r>
      <rPr>
        <sz val="11"/>
        <rFont val="宋体"/>
        <charset val="134"/>
      </rPr>
      <t>倍暴击</t>
    </r>
  </si>
  <si>
    <t>死亡之塔LV3</t>
  </si>
  <si>
    <t>致命一击Lv3：19%概率造成5倍暴击</t>
  </si>
  <si>
    <t>死亡之塔LV4</t>
  </si>
  <si>
    <t>致命一击Lv4：22%概率造成5倍暴击</t>
  </si>
  <si>
    <t>死亡之塔LV5</t>
  </si>
  <si>
    <r>
      <t>致命一击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22%</t>
    </r>
    <r>
      <rPr>
        <sz val="11"/>
        <rFont val="宋体"/>
        <charset val="134"/>
      </rPr>
      <t>概率造成</t>
    </r>
    <r>
      <rPr>
        <sz val="11"/>
        <rFont val="Carlito"/>
        <charset val="134"/>
      </rPr>
      <t>5</t>
    </r>
    <r>
      <rPr>
        <sz val="11"/>
        <rFont val="宋体"/>
        <charset val="134"/>
      </rPr>
      <t>倍暴击</t>
    </r>
  </si>
  <si>
    <t>R</t>
  </si>
  <si>
    <r>
      <t>碎骨重炮</t>
    </r>
    <r>
      <rPr>
        <sz val="11"/>
        <rFont val="Carlito"/>
        <charset val="134"/>
      </rPr>
      <t>LV1</t>
    </r>
  </si>
  <si>
    <t>致命一击Lv5：22%/5倍
碎骨重炮Lv1：每攻击9次，下一击必定10倍暴击</t>
  </si>
  <si>
    <t>R阶段转职；人口+1</t>
  </si>
  <si>
    <t>碎骨重炮LV2</t>
  </si>
  <si>
    <t>致命一击Lv5：22%/5倍
碎骨重炮Lv2：每攻击8次，下一击必定10倍暴击</t>
  </si>
  <si>
    <t>碎骨重炮LV3</t>
  </si>
  <si>
    <r>
      <t>致命一击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22%/5</t>
    </r>
    <r>
      <rPr>
        <sz val="11"/>
        <rFont val="宋体"/>
        <charset val="134"/>
      </rPr>
      <t>倍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碎骨重炮</t>
    </r>
    <r>
      <rPr>
        <sz val="11"/>
        <rFont val="Carlito"/>
        <charset val="134"/>
      </rPr>
      <t>Lv3</t>
    </r>
    <r>
      <rPr>
        <sz val="11"/>
        <rFont val="宋体"/>
        <charset val="134"/>
      </rPr>
      <t>：每攻击</t>
    </r>
    <r>
      <rPr>
        <sz val="11"/>
        <rFont val="Carlito"/>
        <charset val="134"/>
      </rPr>
      <t>7</t>
    </r>
    <r>
      <rPr>
        <sz val="11"/>
        <rFont val="宋体"/>
        <charset val="134"/>
      </rPr>
      <t>次，下一击必定</t>
    </r>
    <r>
      <rPr>
        <sz val="11"/>
        <rFont val="Carlito"/>
        <charset val="134"/>
      </rPr>
      <t>10</t>
    </r>
    <r>
      <rPr>
        <sz val="11"/>
        <rFont val="宋体"/>
        <charset val="134"/>
      </rPr>
      <t>倍暴击</t>
    </r>
  </si>
  <si>
    <t>碎骨重炮LV4</t>
  </si>
  <si>
    <t>致命一击Lv5：22%/5倍
碎骨重炮Lv4：每攻击6次，下一击必定10倍暴击</t>
  </si>
  <si>
    <r>
      <t>碎骨重炮</t>
    </r>
    <r>
      <rPr>
        <sz val="11"/>
        <rFont val="Carlito"/>
        <charset val="134"/>
      </rPr>
      <t>LV5</t>
    </r>
  </si>
  <si>
    <r>
      <t>致命一击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22%/5</t>
    </r>
    <r>
      <rPr>
        <sz val="11"/>
        <rFont val="宋体"/>
        <charset val="134"/>
      </rPr>
      <t>倍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碎骨重炮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：每攻击</t>
    </r>
    <r>
      <rPr>
        <sz val="11"/>
        <rFont val="Carlito"/>
        <charset val="134"/>
      </rPr>
      <t>6</t>
    </r>
    <r>
      <rPr>
        <sz val="11"/>
        <rFont val="宋体"/>
        <charset val="134"/>
      </rPr>
      <t>次，下一击必定</t>
    </r>
    <r>
      <rPr>
        <sz val="11"/>
        <rFont val="Carlito"/>
        <charset val="134"/>
      </rPr>
      <t>10</t>
    </r>
    <r>
      <rPr>
        <sz val="11"/>
        <rFont val="宋体"/>
        <charset val="134"/>
      </rPr>
      <t>倍暴击</t>
    </r>
  </si>
  <si>
    <t>SR</t>
  </si>
  <si>
    <t>死神榴弹炮LV1</t>
  </si>
  <si>
    <t>致命一击Lv5：22%/5倍
碎骨重炮Lv5：每攻击6次，下一击必定10倍暴击
死神榴弹炮Lv1：暴击时对300码范围造成该次暴击伤害200%</t>
  </si>
  <si>
    <t>SR阶段转职；人口+2</t>
  </si>
  <si>
    <t>死神榴弹炮LV2</t>
  </si>
  <si>
    <r>
      <t>死神榴弹炮</t>
    </r>
    <r>
      <rPr>
        <sz val="11"/>
        <rFont val="Carlito"/>
        <charset val="134"/>
      </rPr>
      <t>LV3</t>
    </r>
  </si>
  <si>
    <t>死神榴弹炮LV4</t>
  </si>
  <si>
    <t>死神榴弹炮LV5</t>
  </si>
  <si>
    <r>
      <t>致命一击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22%/5</t>
    </r>
    <r>
      <rPr>
        <sz val="11"/>
        <rFont val="宋体"/>
        <charset val="134"/>
      </rPr>
      <t>倍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碎骨重炮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：每攻击</t>
    </r>
    <r>
      <rPr>
        <sz val="11"/>
        <rFont val="Carlito"/>
        <charset val="134"/>
      </rPr>
      <t>6</t>
    </r>
    <r>
      <rPr>
        <sz val="11"/>
        <rFont val="宋体"/>
        <charset val="134"/>
      </rPr>
      <t>次，下一击必定</t>
    </r>
    <r>
      <rPr>
        <sz val="11"/>
        <rFont val="Carlito"/>
        <charset val="134"/>
      </rPr>
      <t>10</t>
    </r>
    <r>
      <rPr>
        <sz val="11"/>
        <rFont val="宋体"/>
        <charset val="134"/>
      </rPr>
      <t>倍暴击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死神榴弹炮</t>
    </r>
    <r>
      <rPr>
        <sz val="11"/>
        <rFont val="Carlito"/>
        <charset val="134"/>
      </rPr>
      <t>Lv1</t>
    </r>
    <r>
      <rPr>
        <sz val="11"/>
        <rFont val="宋体"/>
        <charset val="134"/>
      </rPr>
      <t>：暴击时对</t>
    </r>
    <r>
      <rPr>
        <sz val="11"/>
        <rFont val="Carlito"/>
        <charset val="134"/>
      </rPr>
      <t>300</t>
    </r>
    <r>
      <rPr>
        <sz val="11"/>
        <rFont val="宋体"/>
        <charset val="134"/>
      </rPr>
      <t>码范围造成该次暴击伤害</t>
    </r>
    <r>
      <rPr>
        <sz val="11"/>
        <rFont val="Carlito"/>
        <charset val="134"/>
      </rPr>
      <t>200%</t>
    </r>
  </si>
  <si>
    <t>SSR</t>
  </si>
  <si>
    <t>死神榴弹炮LV6</t>
  </si>
  <si>
    <t>最终塔LV6开始稀有度前缀变为SSR</t>
  </si>
  <si>
    <t>死神榴弹炮LV7</t>
  </si>
  <si>
    <t>死神榴弹炮LV8</t>
  </si>
  <si>
    <t>死神榴弹炮LV9</t>
  </si>
  <si>
    <t>死神榴弹炮LV10</t>
  </si>
  <si>
    <r>
      <rPr>
        <sz val="11"/>
        <rFont val="宋体"/>
        <charset val="134"/>
      </rPr>
      <t>致命一击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22%/5</t>
    </r>
    <r>
      <rPr>
        <sz val="11"/>
        <rFont val="宋体"/>
        <charset val="134"/>
      </rPr>
      <t>倍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碎骨重炮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：每攻击</t>
    </r>
    <r>
      <rPr>
        <sz val="11"/>
        <rFont val="Carlito"/>
        <charset val="134"/>
      </rPr>
      <t>6</t>
    </r>
    <r>
      <rPr>
        <sz val="11"/>
        <rFont val="宋体"/>
        <charset val="134"/>
      </rPr>
      <t>次，下一击必定</t>
    </r>
    <r>
      <rPr>
        <sz val="11"/>
        <rFont val="Carlito"/>
        <charset val="134"/>
      </rPr>
      <t>10</t>
    </r>
    <r>
      <rPr>
        <sz val="11"/>
        <rFont val="宋体"/>
        <charset val="134"/>
      </rPr>
      <t>倍暴击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死神榴弹炮</t>
    </r>
    <r>
      <rPr>
        <sz val="11"/>
        <rFont val="Carlito"/>
        <charset val="134"/>
      </rPr>
      <t>Lv1</t>
    </r>
    <r>
      <rPr>
        <sz val="11"/>
        <rFont val="宋体"/>
        <charset val="134"/>
      </rPr>
      <t>：暴击时对</t>
    </r>
    <r>
      <rPr>
        <sz val="11"/>
        <rFont val="Carlito"/>
        <charset val="134"/>
      </rPr>
      <t>300</t>
    </r>
    <r>
      <rPr>
        <sz val="11"/>
        <rFont val="宋体"/>
        <charset val="134"/>
      </rPr>
      <t>码范围造成该次暴击伤害</t>
    </r>
    <r>
      <rPr>
        <sz val="11"/>
        <rFont val="Carlito"/>
        <charset val="134"/>
      </rPr>
      <t>200%</t>
    </r>
  </si>
  <si>
    <t>本路线累计成本（箭塔1-1 → 最终塔LV10）</t>
  </si>
  <si>
    <t>不含主城、前置建筑、工人和其他成长路线成本</t>
  </si>
  <si>
    <t>来源：bandicam 2026-07-19 13-06-14-620_20260719_14204603.mp4；时间范围：约24秒—145秒。攻击力为升级完成后的首个稳定显示值；忽略已知每秒+4攻击力成长。金币/木材/人口均按“升到本级”记录。</t>
  </si>
  <si>
    <t>激光</t>
  </si>
  <si>
    <t>攻击会发射激光，额外持续造成攻击力120%/140%/160%/180%的伤害；对一个目标每秒伤害递增5%，最多500%</t>
  </si>
  <si>
    <t>每次升级基础系数百分比+20%</t>
  </si>
  <si>
    <t>神秘之塔LV4达到Lv5，LV5保持</t>
  </si>
  <si>
    <t>每次击杀5秒内，伤害提高10%，最多叠加4/5/6/7次</t>
  </si>
  <si>
    <t>每次升级提高最高叠加次数+1</t>
  </si>
  <si>
    <t>魔能炮LV4达到Lv5，LV5保持</t>
  </si>
  <si>
    <t>目标与魔能之眼之间的单位受到等同于目标30%的伤害</t>
  </si>
  <si>
    <t>魔能之眼LV1至LV10保持不变</t>
  </si>
  <si>
    <t>神秘之塔LV1</t>
  </si>
  <si>
    <r>
      <rPr>
        <sz val="11"/>
        <rFont val="宋体"/>
        <charset val="134"/>
      </rPr>
      <t>激光</t>
    </r>
    <r>
      <rPr>
        <sz val="11"/>
        <rFont val="Carlito"/>
        <charset val="134"/>
      </rPr>
      <t>Lv1</t>
    </r>
    <r>
      <rPr>
        <sz val="11"/>
        <rFont val="宋体"/>
        <charset val="134"/>
      </rPr>
      <t>：基础系数</t>
    </r>
    <r>
      <rPr>
        <sz val="11"/>
        <rFont val="Carlito"/>
        <charset val="134"/>
      </rPr>
      <t>120%</t>
    </r>
    <r>
      <rPr>
        <sz val="11"/>
        <rFont val="宋体"/>
        <charset val="134"/>
      </rPr>
      <t>；同一目标每秒递增</t>
    </r>
    <r>
      <rPr>
        <sz val="11"/>
        <rFont val="Carlito"/>
        <charset val="134"/>
      </rPr>
      <t>5%</t>
    </r>
    <r>
      <rPr>
        <sz val="11"/>
        <rFont val="宋体"/>
        <charset val="134"/>
      </rPr>
      <t>，最多</t>
    </r>
    <r>
      <rPr>
        <sz val="11"/>
        <rFont val="Carlito"/>
        <charset val="134"/>
      </rPr>
      <t>500%</t>
    </r>
  </si>
  <si>
    <t>神秘之塔LV2</t>
  </si>
  <si>
    <r>
      <rPr>
        <sz val="11"/>
        <rFont val="宋体"/>
        <charset val="134"/>
      </rPr>
      <t>激光</t>
    </r>
    <r>
      <rPr>
        <sz val="11"/>
        <rFont val="Carlito"/>
        <charset val="134"/>
      </rPr>
      <t>Lv2</t>
    </r>
    <r>
      <rPr>
        <sz val="11"/>
        <rFont val="宋体"/>
        <charset val="134"/>
      </rPr>
      <t>：基础系数</t>
    </r>
    <r>
      <rPr>
        <sz val="11"/>
        <rFont val="Carlito"/>
        <charset val="134"/>
      </rPr>
      <t>140%</t>
    </r>
    <r>
      <rPr>
        <sz val="11"/>
        <rFont val="宋体"/>
        <charset val="134"/>
      </rPr>
      <t>；同一目标每秒递增</t>
    </r>
    <r>
      <rPr>
        <sz val="11"/>
        <rFont val="Carlito"/>
        <charset val="134"/>
      </rPr>
      <t>5%</t>
    </r>
    <r>
      <rPr>
        <sz val="11"/>
        <rFont val="宋体"/>
        <charset val="134"/>
      </rPr>
      <t>，最多</t>
    </r>
    <r>
      <rPr>
        <sz val="11"/>
        <rFont val="Carlito"/>
        <charset val="134"/>
      </rPr>
      <t>500%</t>
    </r>
  </si>
  <si>
    <t>神秘之塔LV3</t>
  </si>
  <si>
    <t>激光Lv3：基础系数160%；同一目标每秒递增5%，最多500%</t>
  </si>
  <si>
    <t>神秘之塔LV4</t>
  </si>
  <si>
    <t>激光Lv4：基础系数180%；同一目标每秒递增5%，最多500%</t>
  </si>
  <si>
    <t>神秘之塔LV5</t>
  </si>
  <si>
    <t>激光Lv5：基础系数180%；同一目标每秒递增5%，最多500%</t>
  </si>
  <si>
    <t>魔能炮LV1</t>
  </si>
  <si>
    <t>激光Lv5：180%
魔能炮Lv1：击杀后5秒内伤害+10%，最多4层</t>
  </si>
  <si>
    <t>魔能炮LV2</t>
  </si>
  <si>
    <t>激光Lv5：180%
魔能炮Lv2：击杀后5秒内伤害+10%，最多5层</t>
  </si>
  <si>
    <t>魔能炮LV3</t>
  </si>
  <si>
    <t>激光Lv5：180%
魔能炮Lv3：击杀后5秒内伤害+10%，最多6层</t>
  </si>
  <si>
    <t>魔能炮LV4</t>
  </si>
  <si>
    <t>激光Lv5：180%
魔能炮Lv4：击杀后5秒内伤害+10%，最多7层</t>
  </si>
  <si>
    <t>魔能炮LV5</t>
  </si>
  <si>
    <t>激光Lv5：180%
魔能炮Lv5：击杀后5秒内伤害+10%，最多7层</t>
  </si>
  <si>
    <t>魔能之眼LV1</t>
  </si>
  <si>
    <t>激光Lv5：基础系数180%，同目标每秒递增5%，最多500%
魔能炮Lv5：击杀后5秒内伤害+10%，最多7层
魔能之眼Lv1：目标与魔能之眼之间的单位受到等同于目标30%的伤害</t>
  </si>
  <si>
    <t>魔能之眼LV2</t>
  </si>
  <si>
    <t>魔能之眼LV3</t>
  </si>
  <si>
    <t>魔能之眼LV4</t>
  </si>
  <si>
    <t>魔能之眼LV5</t>
  </si>
  <si>
    <t>魔能之眼LV6</t>
  </si>
  <si>
    <t>魔能之眼LV7</t>
  </si>
  <si>
    <t>魔能之眼LV8</t>
  </si>
  <si>
    <t>魔能之眼LV9</t>
  </si>
  <si>
    <t>魔能之眼LV10</t>
  </si>
  <si>
    <t>来源：bandicam 2026-07-19 13-06-14-620_20260719_14204603.mp4；时间范围：约147秒—253秒。攻击力为升级完成后的首个稳定显示值；忽略已知每秒+4攻击力成长。金币/木材/人口均按“升到本级”记录。</t>
  </si>
  <si>
    <t>闪电打击</t>
  </si>
  <si>
    <t>攻击会弹射4/5/6/7个敌人，造成自身攻击力100%的伤害；每次弹射伤害衰减10%</t>
  </si>
  <si>
    <t>每次升级弹射次数+1</t>
  </si>
  <si>
    <t>闪电塔LV4达到Lv5，LV5保持</t>
  </si>
  <si>
    <t>击杀敌人产生雷电风暴区域，每1秒落下雷电攻击区域内的敌人</t>
  </si>
  <si>
    <t>橙字写明“每次升级提高频率”</t>
  </si>
  <si>
    <t>录像中Lv3和Lv5文本都显示每1秒，无法只靠文字分离内部频率</t>
  </si>
  <si>
    <t>落雷有30%几率扩散，对半径200码范围造成该次伤害200%伤害</t>
  </si>
  <si>
    <t>雷电扩散LV1至LV10保持不变</t>
  </si>
  <si>
    <t>闪电塔LV1</t>
  </si>
  <si>
    <r>
      <t>闪电打击</t>
    </r>
    <r>
      <rPr>
        <sz val="11"/>
        <rFont val="Carlito"/>
        <charset val="134"/>
      </rPr>
      <t>Lv1</t>
    </r>
    <r>
      <rPr>
        <sz val="11"/>
        <rFont val="宋体"/>
        <charset val="134"/>
      </rPr>
      <t>：弹射</t>
    </r>
    <r>
      <rPr>
        <sz val="11"/>
        <rFont val="Carlito"/>
        <charset val="134"/>
      </rPr>
      <t>4</t>
    </r>
    <r>
      <rPr>
        <sz val="11"/>
        <rFont val="宋体"/>
        <charset val="134"/>
      </rPr>
      <t>个敌人；</t>
    </r>
    <r>
      <rPr>
        <sz val="11"/>
        <rFont val="Carlito"/>
        <charset val="134"/>
      </rPr>
      <t>100%</t>
    </r>
    <r>
      <rPr>
        <sz val="11"/>
        <rFont val="宋体"/>
        <charset val="134"/>
      </rPr>
      <t>攻击力；每次弹射衰减</t>
    </r>
    <r>
      <rPr>
        <sz val="11"/>
        <rFont val="Carlito"/>
        <charset val="134"/>
      </rPr>
      <t>10%</t>
    </r>
  </si>
  <si>
    <t>闪电塔LV2</t>
  </si>
  <si>
    <t>闪电打击Lv2：弹射5个敌人；100%攻击力；每次弹射衰减10%</t>
  </si>
  <si>
    <t>闪电塔LV3</t>
  </si>
  <si>
    <t>闪电打击Lv3：弹射6个敌人；100%攻击力；每次弹射衰减10%</t>
  </si>
  <si>
    <t>闪电塔LV4</t>
  </si>
  <si>
    <t>闪电打击Lv4：弹射7个敌人；100%攻击力；每次弹射衰减10%</t>
  </si>
  <si>
    <t>闪电塔LV5</t>
  </si>
  <si>
    <r>
      <t>闪电打击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：弹射</t>
    </r>
    <r>
      <rPr>
        <sz val="11"/>
        <rFont val="Carlito"/>
        <charset val="134"/>
      </rPr>
      <t>7</t>
    </r>
    <r>
      <rPr>
        <sz val="11"/>
        <rFont val="宋体"/>
        <charset val="134"/>
      </rPr>
      <t>个敌人；</t>
    </r>
    <r>
      <rPr>
        <sz val="11"/>
        <rFont val="Carlito"/>
        <charset val="134"/>
      </rPr>
      <t>100%</t>
    </r>
    <r>
      <rPr>
        <sz val="11"/>
        <rFont val="宋体"/>
        <charset val="134"/>
      </rPr>
      <t>攻击力；每次弹射衰减</t>
    </r>
    <r>
      <rPr>
        <sz val="11"/>
        <rFont val="Carlito"/>
        <charset val="134"/>
      </rPr>
      <t>10%</t>
    </r>
  </si>
  <si>
    <t>闪电魔塔LV1</t>
  </si>
  <si>
    <t>闪电打击Lv5：弹射7个
闪电魔塔Lv1：击杀生成雷电风暴区域；文本显示每1秒落雷</t>
  </si>
  <si>
    <t>闪电魔塔LV2</t>
  </si>
  <si>
    <t>闪电打击Lv5：弹射7个
闪电魔塔Lv2：击杀生成雷电风暴区域；文本显示每1秒落雷</t>
  </si>
  <si>
    <t>闪电魔塔LV3</t>
  </si>
  <si>
    <r>
      <t>闪电打击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：弹射</t>
    </r>
    <r>
      <rPr>
        <sz val="11"/>
        <rFont val="Carlito"/>
        <charset val="134"/>
      </rPr>
      <t>7</t>
    </r>
    <r>
      <rPr>
        <sz val="11"/>
        <rFont val="宋体"/>
        <charset val="134"/>
      </rPr>
      <t>个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闪电魔塔</t>
    </r>
    <r>
      <rPr>
        <sz val="11"/>
        <rFont val="Carlito"/>
        <charset val="134"/>
      </rPr>
      <t>Lv3</t>
    </r>
    <r>
      <rPr>
        <sz val="11"/>
        <rFont val="宋体"/>
        <charset val="134"/>
      </rPr>
      <t>：击杀生成雷电风暴区域；文本显示每</t>
    </r>
    <r>
      <rPr>
        <sz val="11"/>
        <rFont val="Carlito"/>
        <charset val="134"/>
      </rPr>
      <t>1</t>
    </r>
    <r>
      <rPr>
        <sz val="11"/>
        <rFont val="宋体"/>
        <charset val="134"/>
      </rPr>
      <t>秒落雷</t>
    </r>
  </si>
  <si>
    <t>闪电魔塔LV4</t>
  </si>
  <si>
    <t>闪电打击Lv5：弹射7个
闪电魔塔Lv4：击杀生成雷电风暴区域；文本显示每1秒落雷</t>
  </si>
  <si>
    <t>闪电魔塔LV5</t>
  </si>
  <si>
    <r>
      <t>闪电打击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：弹射</t>
    </r>
    <r>
      <rPr>
        <sz val="11"/>
        <rFont val="Carlito"/>
        <charset val="134"/>
      </rPr>
      <t>7</t>
    </r>
    <r>
      <rPr>
        <sz val="11"/>
        <rFont val="宋体"/>
        <charset val="134"/>
      </rPr>
      <t>个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闪电魔塔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：击杀生成雷电风暴区域；文本显示每</t>
    </r>
    <r>
      <rPr>
        <sz val="11"/>
        <rFont val="Carlito"/>
        <charset val="134"/>
      </rPr>
      <t>1</t>
    </r>
    <r>
      <rPr>
        <sz val="11"/>
        <rFont val="宋体"/>
        <charset val="134"/>
      </rPr>
      <t>秒落雷</t>
    </r>
  </si>
  <si>
    <t>雷电扩散LV1</t>
  </si>
  <si>
    <t>闪电打击Lv5：弹射7个；每次衰减10%
闪电魔塔Lv5：击杀生成雷电风暴区域，每1秒落雷
雷电扩散Lv1：落雷30%几率扩散，对200码范围造成该次伤害200%</t>
  </si>
  <si>
    <t>雷电扩散LV2</t>
  </si>
  <si>
    <t>雷电扩散LV3</t>
  </si>
  <si>
    <t>雷电扩散LV4</t>
  </si>
  <si>
    <t>雷电扩散LV5</t>
  </si>
  <si>
    <t>雷电扩散LV6</t>
  </si>
  <si>
    <t>雷电扩散LV7</t>
  </si>
  <si>
    <r>
      <t>闪电打击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：弹射</t>
    </r>
    <r>
      <rPr>
        <sz val="11"/>
        <rFont val="Carlito"/>
        <charset val="134"/>
      </rPr>
      <t>7</t>
    </r>
    <r>
      <rPr>
        <sz val="11"/>
        <rFont val="宋体"/>
        <charset val="134"/>
      </rPr>
      <t>个；每次衰减</t>
    </r>
    <r>
      <rPr>
        <sz val="11"/>
        <rFont val="Carlito"/>
        <charset val="134"/>
      </rPr>
      <t xml:space="preserve">10%
</t>
    </r>
    <r>
      <rPr>
        <sz val="11"/>
        <rFont val="宋体"/>
        <charset val="134"/>
      </rPr>
      <t>闪电魔塔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：击杀生成雷电风暴区域，每</t>
    </r>
    <r>
      <rPr>
        <sz val="11"/>
        <rFont val="Carlito"/>
        <charset val="134"/>
      </rPr>
      <t>1</t>
    </r>
    <r>
      <rPr>
        <sz val="11"/>
        <rFont val="宋体"/>
        <charset val="134"/>
      </rPr>
      <t>秒落雷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雷电扩散</t>
    </r>
    <r>
      <rPr>
        <sz val="11"/>
        <rFont val="Carlito"/>
        <charset val="134"/>
      </rPr>
      <t>Lv1</t>
    </r>
    <r>
      <rPr>
        <sz val="11"/>
        <rFont val="宋体"/>
        <charset val="134"/>
      </rPr>
      <t>：落雷</t>
    </r>
    <r>
      <rPr>
        <sz val="11"/>
        <rFont val="Carlito"/>
        <charset val="134"/>
      </rPr>
      <t>30%</t>
    </r>
    <r>
      <rPr>
        <sz val="11"/>
        <rFont val="宋体"/>
        <charset val="134"/>
      </rPr>
      <t>几率扩散，对</t>
    </r>
    <r>
      <rPr>
        <sz val="11"/>
        <rFont val="Carlito"/>
        <charset val="134"/>
      </rPr>
      <t>200</t>
    </r>
    <r>
      <rPr>
        <sz val="11"/>
        <rFont val="宋体"/>
        <charset val="134"/>
      </rPr>
      <t>码范围造成该次伤害</t>
    </r>
    <r>
      <rPr>
        <sz val="11"/>
        <rFont val="Carlito"/>
        <charset val="134"/>
      </rPr>
      <t>200%</t>
    </r>
  </si>
  <si>
    <t>雷电扩散LV8</t>
  </si>
  <si>
    <t>雷电扩散LV9</t>
  </si>
  <si>
    <t>雷电扩散LV10</t>
  </si>
  <si>
    <t>来源：bandicam 2026-07-19 13-06-14-620_20260719_14204603.mp4；时间范围：约255秒—335秒。攻击力为升级完成后的首个稳定显示值；忽略已知每秒+4攻击力成长。金币/木材/人口均按“升到本级”记录。</t>
  </si>
  <si>
    <t>机枪</t>
  </si>
  <si>
    <t>增加自身40%/60%/80%/100%攻击速度</t>
  </si>
  <si>
    <t>每次升级增加20%攻击速度</t>
  </si>
  <si>
    <t>机枪塔LV4达到Lv5，LV5保持</t>
  </si>
  <si>
    <t>攻击金币+5/+7/+9/+11</t>
  </si>
  <si>
    <t>按实际数值序列每次升级增加2点</t>
  </si>
  <si>
    <t>橙色成长文本较模糊，数值序列清晰</t>
  </si>
  <si>
    <t>对同一目标攻击5次或者击杀任意单位后，攻速提升20%，持续3秒；不可叠加，可刷新时间</t>
  </si>
  <si>
    <t>爆矢加特林LV1至LV10保持不变</t>
  </si>
  <si>
    <t>机枪塔LV1</t>
  </si>
  <si>
    <t>机枪Lv1：攻击速度+40%</t>
  </si>
  <si>
    <t>机枪塔LV2</t>
  </si>
  <si>
    <t>机枪Lv2：攻击速度+60%</t>
  </si>
  <si>
    <t>机枪塔LV3</t>
  </si>
  <si>
    <t>机枪Lv3：攻击速度+80%</t>
  </si>
  <si>
    <t>机枪塔LV4</t>
  </si>
  <si>
    <t>机枪Lv4：攻击速度+100%</t>
  </si>
  <si>
    <t>机枪塔LV5</t>
  </si>
  <si>
    <t>机枪Lv5：攻击速度+100%</t>
  </si>
  <si>
    <t>赏金机枪LV1</t>
  </si>
  <si>
    <t>机枪Lv5：攻速+100%
赏金机枪Lv1：每次攻击金币+5</t>
  </si>
  <si>
    <t>赏金机枪LV2</t>
  </si>
  <si>
    <t>机枪Lv5：攻速+100%
赏金机枪Lv2：每次攻击金币+7</t>
  </si>
  <si>
    <t>赏金机枪LV3</t>
  </si>
  <si>
    <t>机枪Lv5：攻速+100%
赏金机枪Lv3：每次攻击金币+9</t>
  </si>
  <si>
    <t>赏金机枪LV4</t>
  </si>
  <si>
    <t>机枪Lv5：攻速+100%
赏金机枪Lv4：每次攻击金币+11</t>
  </si>
  <si>
    <t>赏金机枪LV5</t>
  </si>
  <si>
    <t>机枪Lv5：攻速+100%
赏金机枪Lv5：每次攻击金币+11</t>
  </si>
  <si>
    <t>爆矢加特林LV1</t>
  </si>
  <si>
    <t>机枪Lv5：攻击速度+100%
赏金机枪Lv5：每次攻击金币+11
爆矢加特林Lv1：同一目标攻击5次或击杀单位后，攻速+20%持续3秒；不可叠加，可刷新</t>
  </si>
  <si>
    <t>爆矢加特林LV2</t>
  </si>
  <si>
    <t>爆矢加特林LV3</t>
  </si>
  <si>
    <t>爆矢加特林LV4</t>
  </si>
  <si>
    <t>爆矢加特林LV5</t>
  </si>
  <si>
    <t>爆矢加特林LV6</t>
  </si>
  <si>
    <t>爆矢加特林LV7</t>
  </si>
  <si>
    <t>爆矢加特林LV8</t>
  </si>
  <si>
    <t>爆矢加特林LV9</t>
  </si>
  <si>
    <t>爆矢加特林LV10</t>
  </si>
  <si>
    <t>来源：bandicam 2026-07-19 13-06-14-620_20260719_14204603.mp4；时间范围：约336秒—411秒。攻击力为升级完成后的首个稳定显示值；忽略已知每秒+4攻击力成长。金币/木材/人口均按“升到本级”记录。</t>
  </si>
  <si>
    <t>多重攻击</t>
  </si>
  <si>
    <t>对地面单位4/5/6/7重射；对地面单位+30%伤害；对空中单位-50%伤害</t>
  </si>
  <si>
    <t>每次升级数量+1</t>
  </si>
  <si>
    <t>多重塔LV4达到Lv5，LV5保持</t>
  </si>
  <si>
    <t>攻击无视敌人15%/20%/25%/30%的护甲</t>
  </si>
  <si>
    <t>每次升级提高无视5%的护甲</t>
  </si>
  <si>
    <t>穿透弩炮LV4达到Lv5，LV5保持</t>
  </si>
  <si>
    <t>巨箭对路径上的敌人造成100%伤害</t>
  </si>
  <si>
    <t>炙热巨箭塔LV1至LV10保持不变</t>
  </si>
  <si>
    <t>多重塔LV1</t>
  </si>
  <si>
    <t>多重攻击Lv1：对地4重射；对地+30%伤害；对空-50%伤害</t>
  </si>
  <si>
    <t>多重塔LV2</t>
  </si>
  <si>
    <t>多重攻击Lv2：对地5重射；对地+30%伤害；对空-50%伤害</t>
  </si>
  <si>
    <t>多重塔LV3</t>
  </si>
  <si>
    <t>多重攻击Lv3：对地6重射；对地+30%伤害；对空-50%伤害</t>
  </si>
  <si>
    <t>多重塔LV4</t>
  </si>
  <si>
    <t>多重攻击Lv4：对地7重射；对地+30%伤害；对空-50%伤害</t>
  </si>
  <si>
    <t>多重塔LV5</t>
  </si>
  <si>
    <t>多重攻击Lv5：对地7重射；对地+30%伤害；对空-50%伤害</t>
  </si>
  <si>
    <t>穿透弩炮LV1</t>
  </si>
  <si>
    <t>多重攻击Lv5：对地7重射
穿透弩炮Lv1：无视15%护甲</t>
  </si>
  <si>
    <t>穿透弩炮LV2</t>
  </si>
  <si>
    <t>多重攻击Lv5：对地7重射
穿透弩炮Lv2：无视20%护甲</t>
  </si>
  <si>
    <t>穿透弩炮LV3</t>
  </si>
  <si>
    <t>多重攻击Lv5：对地7重射
穿透弩炮Lv3：无视25%护甲</t>
  </si>
  <si>
    <t>穿透弩炮LV4</t>
  </si>
  <si>
    <t>多重攻击Lv5：对地7重射
穿透弩炮Lv4：无视30%护甲</t>
  </si>
  <si>
    <t>穿透弩炮LV5</t>
  </si>
  <si>
    <t>多重攻击Lv5：对地7重射
穿透弩炮Lv5：无视30%护甲</t>
  </si>
  <si>
    <t>炙热巨箭塔LV1</t>
  </si>
  <si>
    <t>多重攻击Lv5：对地7重射；对地+30%；对空-50%
穿透弩炮Lv5：无视30%护甲
炙热巨箭塔Lv1：巨箭对路径上的敌人造成100%伤害</t>
  </si>
  <si>
    <t>炙热巨箭塔LV2</t>
  </si>
  <si>
    <t>炙热巨箭塔LV3</t>
  </si>
  <si>
    <t>炙热巨箭塔LV4</t>
  </si>
  <si>
    <t>炙热巨箭塔LV5</t>
  </si>
  <si>
    <t>炙热巨箭塔LV6</t>
  </si>
  <si>
    <t>炙热巨箭塔LV7</t>
  </si>
  <si>
    <t>炙热巨箭塔LV8</t>
  </si>
  <si>
    <t>炙热巨箭塔LV9</t>
  </si>
  <si>
    <t>炙热巨箭塔LV10</t>
  </si>
  <si>
    <t>来源：bandicam 2026-07-19 13-06-14-620_20260719_14204603.mp4；时间范围：约411秒—504秒。攻击力为升级完成后的首个稳定显示值；忽略已知每秒+4攻击力成长。金币/木材/人口均按“升到本级”记录。</t>
  </si>
  <si>
    <t>冰霜攻击</t>
  </si>
  <si>
    <t>按钮描述</t>
  </si>
  <si>
    <t>攻击时造成200码的范围攻击，并且减速25%，每次升级提高50码范围</t>
  </si>
  <si>
    <t>等级编号已校正；数值仍以实际技能面板为准</t>
  </si>
  <si>
    <t>重要文本冲突：校正后Lv1为100码</t>
  </si>
  <si>
    <t>攻击时造成100/150/200/250码的范围攻击，并且减速25%</t>
  </si>
  <si>
    <t>每次升级提高50码范围</t>
  </si>
  <si>
    <t>以实际技能面板为数值表依据</t>
  </si>
  <si>
    <t>攻击有8%几率触发大范围暴风雪，持续造成每秒攻击力100%的伤害并减速</t>
  </si>
  <si>
    <t>转职后技能修正为Lv1、10%</t>
  </si>
  <si>
    <t>攻击有10%/12%/14%/16%几率触发大范围暴风雪，持续造成每秒攻击力100%的伤害并减速</t>
  </si>
  <si>
    <t>每次升级提高2%触发概率</t>
  </si>
  <si>
    <t>寒冰尖塔LV4达到Lv5，LV5保持</t>
  </si>
  <si>
    <t>冰霜之塔LV1</t>
  </si>
  <si>
    <r>
      <t>冰霜攻击</t>
    </r>
    <r>
      <rPr>
        <sz val="11"/>
        <rFont val="Carlito"/>
        <charset val="134"/>
      </rPr>
      <t>Lv1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100</t>
    </r>
    <r>
      <rPr>
        <sz val="11"/>
        <rFont val="宋体"/>
        <charset val="134"/>
      </rPr>
      <t>码范围攻击；减速</t>
    </r>
    <r>
      <rPr>
        <sz val="11"/>
        <rFont val="Carlito"/>
        <charset val="134"/>
      </rPr>
      <t>25%</t>
    </r>
  </si>
  <si>
    <t>半径400码范围敌人降低20%攻击速度</t>
  </si>
  <si>
    <t>极地方尖碑LV1至LV10保持不变</t>
  </si>
  <si>
    <t>冰霜之塔LV2</t>
  </si>
  <si>
    <t>冰霜攻击Lv2：150码范围攻击；减速25%</t>
  </si>
  <si>
    <t>冰霜之塔LV3</t>
  </si>
  <si>
    <t>冰霜攻击Lv3：200码范围攻击；减速25%</t>
  </si>
  <si>
    <t>冰霜之塔LV4</t>
  </si>
  <si>
    <t>冰霜攻击Lv4：250码范围攻击；减速25%</t>
  </si>
  <si>
    <t>冰霜之塔LV5</t>
  </si>
  <si>
    <r>
      <t>冰霜攻击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250</t>
    </r>
    <r>
      <rPr>
        <sz val="11"/>
        <rFont val="宋体"/>
        <charset val="134"/>
      </rPr>
      <t>码范围攻击；减速</t>
    </r>
    <r>
      <rPr>
        <sz val="11"/>
        <rFont val="Carlito"/>
        <charset val="134"/>
      </rPr>
      <t>25%</t>
    </r>
  </si>
  <si>
    <t>寒冰尖塔LV1</t>
  </si>
  <si>
    <r>
      <t>冰霜攻击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250</t>
    </r>
    <r>
      <rPr>
        <sz val="11"/>
        <rFont val="宋体"/>
        <charset val="134"/>
      </rPr>
      <t>码</t>
    </r>
    <r>
      <rPr>
        <sz val="11"/>
        <rFont val="Carlito"/>
        <charset val="134"/>
      </rPr>
      <t>/</t>
    </r>
    <r>
      <rPr>
        <sz val="11"/>
        <rFont val="宋体"/>
        <charset val="134"/>
      </rPr>
      <t>减速</t>
    </r>
    <r>
      <rPr>
        <sz val="11"/>
        <rFont val="Carlito"/>
        <charset val="134"/>
      </rPr>
      <t xml:space="preserve">25%
</t>
    </r>
    <r>
      <rPr>
        <sz val="11"/>
        <rFont val="宋体"/>
        <charset val="134"/>
      </rPr>
      <t>寒冰尖塔</t>
    </r>
    <r>
      <rPr>
        <sz val="11"/>
        <rFont val="Carlito"/>
        <charset val="134"/>
      </rPr>
      <t>Lv1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10%</t>
    </r>
    <r>
      <rPr>
        <sz val="11"/>
        <rFont val="宋体"/>
        <charset val="134"/>
      </rPr>
      <t>几率触发大范围暴风雪；每秒</t>
    </r>
    <r>
      <rPr>
        <sz val="11"/>
        <rFont val="Carlito"/>
        <charset val="134"/>
      </rPr>
      <t>100%</t>
    </r>
    <r>
      <rPr>
        <sz val="11"/>
        <rFont val="宋体"/>
        <charset val="134"/>
      </rPr>
      <t>攻击力伤害并减速</t>
    </r>
  </si>
  <si>
    <t>寒冰尖塔LV2</t>
  </si>
  <si>
    <t>冰霜攻击Lv5：250码/减速25%
寒冰尖塔Lv2：12%几率触发大范围暴风雪；每秒100%攻击力伤害并减速</t>
  </si>
  <si>
    <t>寒冰尖塔LV3</t>
  </si>
  <si>
    <t>冰霜攻击Lv5：250码/减速25%
寒冰尖塔Lv3：14%几率触发大范围暴风雪；每秒100%攻击力伤害并减速</t>
  </si>
  <si>
    <t>寒冰尖塔LV4</t>
  </si>
  <si>
    <t>冰霜攻击Lv5：250码/减速25%
寒冰尖塔Lv4：16%几率触发大范围暴风雪；每秒100%攻击力伤害并减速</t>
  </si>
  <si>
    <t>寒冰尖塔LV5</t>
  </si>
  <si>
    <t>冰霜攻击Lv5：250码/减速25%
寒冰尖塔Lv5：16%几率触发大范围暴风雪；每秒100%攻击力伤害并减速</t>
  </si>
  <si>
    <t>极地方尖碑LV1</t>
  </si>
  <si>
    <t>冰霜攻击Lv5：250码范围攻击、减速25%
寒冰尖塔Lv5：16%几率触发暴风雪，每秒100%攻击力伤害并减速
极地方尖碑Lv1：半径400码范围敌人攻击速度降低20%</t>
  </si>
  <si>
    <t>极地方尖碑LV2</t>
  </si>
  <si>
    <t>极地方尖碑LV3</t>
  </si>
  <si>
    <r>
      <t>极地方尖碑</t>
    </r>
    <r>
      <rPr>
        <sz val="11"/>
        <rFont val="Carlito"/>
        <charset val="134"/>
      </rPr>
      <t>LV4</t>
    </r>
  </si>
  <si>
    <r>
      <t>冰霜攻击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250</t>
    </r>
    <r>
      <rPr>
        <sz val="11"/>
        <rFont val="宋体"/>
        <charset val="134"/>
      </rPr>
      <t>码范围攻击、减速</t>
    </r>
    <r>
      <rPr>
        <sz val="11"/>
        <rFont val="Carlito"/>
        <charset val="134"/>
      </rPr>
      <t xml:space="preserve">25%
</t>
    </r>
    <r>
      <rPr>
        <sz val="11"/>
        <rFont val="宋体"/>
        <charset val="134"/>
      </rPr>
      <t>寒冰尖塔</t>
    </r>
    <r>
      <rPr>
        <sz val="11"/>
        <rFont val="Carlito"/>
        <charset val="134"/>
      </rPr>
      <t>Lv5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16%</t>
    </r>
    <r>
      <rPr>
        <sz val="11"/>
        <rFont val="宋体"/>
        <charset val="134"/>
      </rPr>
      <t>几率触发暴风雪，每秒</t>
    </r>
    <r>
      <rPr>
        <sz val="11"/>
        <rFont val="Carlito"/>
        <charset val="134"/>
      </rPr>
      <t>100%</t>
    </r>
    <r>
      <rPr>
        <sz val="11"/>
        <rFont val="宋体"/>
        <charset val="134"/>
      </rPr>
      <t>攻击力伤害并减速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极地方尖碑</t>
    </r>
    <r>
      <rPr>
        <sz val="11"/>
        <rFont val="Carlito"/>
        <charset val="134"/>
      </rPr>
      <t>Lv1</t>
    </r>
    <r>
      <rPr>
        <sz val="11"/>
        <rFont val="宋体"/>
        <charset val="134"/>
      </rPr>
      <t>：半径</t>
    </r>
    <r>
      <rPr>
        <sz val="11"/>
        <rFont val="Carlito"/>
        <charset val="134"/>
      </rPr>
      <t>400</t>
    </r>
    <r>
      <rPr>
        <sz val="11"/>
        <rFont val="宋体"/>
        <charset val="134"/>
      </rPr>
      <t>码范围敌人攻击速度降低</t>
    </r>
    <r>
      <rPr>
        <sz val="11"/>
        <rFont val="Carlito"/>
        <charset val="134"/>
      </rPr>
      <t>20%</t>
    </r>
  </si>
  <si>
    <t>极地方尖碑LV5</t>
  </si>
  <si>
    <t>极地方尖碑LV6</t>
  </si>
  <si>
    <t>极地方尖碑LV7</t>
  </si>
  <si>
    <t>极地方尖碑LV8</t>
  </si>
  <si>
    <t>极地方尖碑LV9</t>
  </si>
  <si>
    <t>极地方尖碑LV10</t>
  </si>
  <si>
    <t>来源：bandicam 2026-07-19 13-06-14-620_20260719_14204603.mp4；时间范围：约504秒—600秒。攻击力为升级完成后的首个稳定显示值；忽略已知每秒+4攻击力成长。金币/木材/人口均按“升到本级”记录。</t>
  </si>
  <si>
    <t>对空中单位+90%伤害，基础对同一个目标射出3枚飞弹，每次升级数量+1</t>
  </si>
  <si>
    <t>建成防空炮LV1后技能修正为Lv1、4枚</t>
  </si>
  <si>
    <t>攻击空中敌人时对同一个目标射出4/5/6/7枚飞弹；对空中单位+90%伤害</t>
  </si>
  <si>
    <t>防空炮LV4达到Lv5，LV5保持</t>
  </si>
  <si>
    <t>攻击有8%几率发射拖拽网将其拉入地面</t>
  </si>
  <si>
    <t>建成防空火炮LV1后技能修正为Lv1、10%</t>
  </si>
  <si>
    <t>攻击有10%/12%/14%/16%几率发射拖拽网将其拉入地面</t>
  </si>
  <si>
    <t>防空火炮LV4达到Lv5，LV5保持</t>
  </si>
  <si>
    <t>防空炮LV1</t>
  </si>
  <si>
    <t>防空炮Lv1：对同一空中目标射出4枚飞弹；对空+90%伤害</t>
  </si>
  <si>
    <t>半径500码范围的单位受到伤害提高20%，并且空中怪攻击速度减少20%</t>
  </si>
  <si>
    <t>空域霸主LV1至LV10保持不变</t>
  </si>
  <si>
    <t>防空炮LV2</t>
  </si>
  <si>
    <t>防空炮Lv2：对同一空中目标射出5枚飞弹；对空+90%伤害</t>
  </si>
  <si>
    <t>防空炮LV3</t>
  </si>
  <si>
    <t>防空炮Lv3：对同一空中目标射出6枚飞弹；对空+90%伤害</t>
  </si>
  <si>
    <t>防空炮LV4</t>
  </si>
  <si>
    <t>防空炮Lv4：对同一空中目标射出7枚飞弹；对空+90%伤害</t>
  </si>
  <si>
    <t>防空炮LV5</t>
  </si>
  <si>
    <t>防空炮Lv5：对同一空中目标射出7枚飞弹；对空+90%伤害</t>
  </si>
  <si>
    <t>防空火炮LV1</t>
  </si>
  <si>
    <t>防空炮Lv5：7枚飞弹/对空+90%
防空火炮Lv1：10%几率发射拖拽网拉入地面</t>
  </si>
  <si>
    <t>防空火炮LV2</t>
  </si>
  <si>
    <t>防空炮Lv5：7枚飞弹/对空+90%
防空火炮Lv2：12%几率发射拖拽网拉入地面</t>
  </si>
  <si>
    <t>防空火炮LV3</t>
  </si>
  <si>
    <t>防空炮Lv5：7枚飞弹/对空+90%
防空火炮Lv3：14%几率发射拖拽网拉入地面</t>
  </si>
  <si>
    <t>防空火炮LV4</t>
  </si>
  <si>
    <t>防空炮Lv5：7枚飞弹/对空+90%
防空火炮Lv4：16%几率发射拖拽网拉入地面</t>
  </si>
  <si>
    <t>防空火炮LV5</t>
  </si>
  <si>
    <t>防空炮Lv5：7枚飞弹/对空+90%
防空火炮Lv5：16%几率发射拖拽网拉入地面</t>
  </si>
  <si>
    <t>空域霸主LV1</t>
  </si>
  <si>
    <t>防空炮Lv5：对同一空中目标7枚飞弹，对空+90%伤害
防空火炮Lv5：16%几率发射拖拽网拉入地面
空域霸主Lv1：500码范围单位受到伤害+20%，空中怪攻击速度-20%</t>
  </si>
  <si>
    <t>空域霸主LV2</t>
  </si>
  <si>
    <t>空域霸主LV3</t>
  </si>
  <si>
    <t>空域霸主LV4</t>
  </si>
  <si>
    <t>空域霸主LV5</t>
  </si>
  <si>
    <t>空域霸主LV6</t>
  </si>
  <si>
    <t>空域霸主LV7</t>
  </si>
  <si>
    <t>空域霸主LV8</t>
  </si>
  <si>
    <t>空域霸主LV9</t>
  </si>
  <si>
    <t>空域霸主LV10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</si>
</sst>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3"/>
      <color rgb="FFFFFFFF"/>
      <name val="Carlito"/>
      <charset val="134"/>
    </font>
    <font>
      <b/>
      <sz val="11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24" borderId="5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0" fillId="0" borderId="0"/>
  </cellStyleXfs>
  <cellXfs count="48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0" fillId="3" borderId="0" xfId="49" applyNumberFormat="1" applyFont="1" applyFill="1" applyBorder="1" applyAlignment="1">
      <alignment vertical="center" wrapText="1"/>
    </xf>
    <xf numFmtId="0" fontId="2" fillId="4" borderId="0" xfId="49" applyNumberFormat="1" applyFont="1" applyFill="1" applyBorder="1" applyAlignment="1">
      <alignment horizontal="center" vertical="center" wrapText="1"/>
    </xf>
    <xf numFmtId="0" fontId="3" fillId="2" borderId="0" xfId="49" applyNumberFormat="1" applyFont="1" applyFill="1" applyBorder="1" applyAlignment="1">
      <alignment horizontal="center" vertical="center"/>
    </xf>
    <xf numFmtId="0" fontId="0" fillId="5" borderId="0" xfId="49" applyNumberFormat="1" applyFont="1" applyFill="1" applyBorder="1" applyAlignment="1">
      <alignment horizontal="center" vertical="center" wrapText="1"/>
    </xf>
    <xf numFmtId="3" fontId="0" fillId="5" borderId="0" xfId="49" applyNumberFormat="1" applyFont="1" applyFill="1" applyBorder="1" applyAlignment="1">
      <alignment horizontal="center" vertical="center" wrapText="1"/>
    </xf>
    <xf numFmtId="0" fontId="0" fillId="5" borderId="0" xfId="49" applyNumberFormat="1" applyFont="1" applyFill="1" applyBorder="1" applyAlignment="1">
      <alignment vertical="center" wrapText="1"/>
    </xf>
    <xf numFmtId="0" fontId="2" fillId="6" borderId="0" xfId="49" applyNumberFormat="1" applyFont="1" applyFill="1" applyAlignment="1">
      <alignment horizontal="center" vertical="center" wrapText="1"/>
    </xf>
    <xf numFmtId="0" fontId="0" fillId="7" borderId="0" xfId="49" applyNumberFormat="1" applyFont="1" applyFill="1" applyAlignment="1">
      <alignment vertical="top" wrapText="1"/>
    </xf>
    <xf numFmtId="0" fontId="0" fillId="8" borderId="0" xfId="49" applyNumberFormat="1" applyFont="1" applyFill="1" applyAlignment="1">
      <alignment vertical="top" wrapText="1"/>
    </xf>
    <xf numFmtId="0" fontId="0" fillId="9" borderId="0" xfId="49" applyNumberFormat="1" applyFont="1" applyFill="1" applyBorder="1" applyAlignment="1">
      <alignment horizontal="center" vertical="center" wrapText="1"/>
    </xf>
    <xf numFmtId="3" fontId="0" fillId="9" borderId="0" xfId="49" applyNumberFormat="1" applyFont="1" applyFill="1" applyBorder="1" applyAlignment="1">
      <alignment horizontal="center" vertical="center" wrapText="1"/>
    </xf>
    <xf numFmtId="0" fontId="0" fillId="9" borderId="0" xfId="49" applyNumberFormat="1" applyFont="1" applyFill="1" applyBorder="1" applyAlignment="1">
      <alignment vertical="center" wrapText="1"/>
    </xf>
    <xf numFmtId="0" fontId="0" fillId="10" borderId="0" xfId="49" applyNumberFormat="1" applyFont="1" applyFill="1" applyBorder="1" applyAlignment="1">
      <alignment horizontal="center" vertical="center" wrapText="1"/>
    </xf>
    <xf numFmtId="3" fontId="0" fillId="10" borderId="0" xfId="49" applyNumberFormat="1" applyFont="1" applyFill="1" applyBorder="1" applyAlignment="1">
      <alignment horizontal="center" vertical="center" wrapText="1"/>
    </xf>
    <xf numFmtId="0" fontId="0" fillId="10" borderId="0" xfId="49" applyNumberFormat="1" applyFont="1" applyFill="1" applyBorder="1" applyAlignment="1">
      <alignment vertical="center" wrapText="1"/>
    </xf>
    <xf numFmtId="0" fontId="0" fillId="11" borderId="0" xfId="49" applyNumberFormat="1" applyFont="1" applyFill="1" applyBorder="1" applyAlignment="1">
      <alignment horizontal="center" vertical="center" wrapText="1"/>
    </xf>
    <xf numFmtId="3" fontId="0" fillId="11" borderId="0" xfId="49" applyNumberFormat="1" applyFont="1" applyFill="1" applyBorder="1" applyAlignment="1">
      <alignment horizontal="center" vertical="center" wrapText="1"/>
    </xf>
    <xf numFmtId="0" fontId="0" fillId="11" borderId="0" xfId="49" applyNumberFormat="1" applyFont="1" applyFill="1" applyBorder="1" applyAlignment="1">
      <alignment vertical="center" wrapText="1"/>
    </xf>
    <xf numFmtId="0" fontId="4" fillId="12" borderId="0" xfId="49" applyNumberFormat="1" applyFont="1" applyFill="1" applyBorder="1" applyAlignment="1">
      <alignment horizontal="center" vertical="center" wrapText="1"/>
    </xf>
    <xf numFmtId="3" fontId="4" fillId="12" borderId="0" xfId="49" applyNumberFormat="1" applyFont="1" applyFill="1" applyBorder="1" applyAlignment="1">
      <alignment horizontal="center" vertical="center" wrapText="1"/>
    </xf>
    <xf numFmtId="0" fontId="2" fillId="6" borderId="0" xfId="49" applyNumberFormat="1" applyFont="1" applyFill="1" applyBorder="1" applyAlignment="1">
      <alignment horizontal="center" vertical="center" wrapText="1"/>
    </xf>
    <xf numFmtId="0" fontId="0" fillId="7" borderId="0" xfId="49" applyNumberFormat="1" applyFont="1" applyFill="1" applyBorder="1" applyAlignment="1">
      <alignment vertical="top" wrapText="1"/>
    </xf>
    <xf numFmtId="0" fontId="0" fillId="8" borderId="0" xfId="49" applyNumberFormat="1" applyFont="1" applyFill="1" applyBorder="1" applyAlignment="1">
      <alignment vertical="top" wrapText="1"/>
    </xf>
    <xf numFmtId="0" fontId="1" fillId="13" borderId="0" xfId="49" applyNumberFormat="1" applyFont="1" applyFill="1" applyBorder="1" applyAlignment="1">
      <alignment horizontal="center" vertical="center"/>
    </xf>
    <xf numFmtId="0" fontId="3" fillId="13" borderId="0" xfId="49" applyNumberFormat="1" applyFont="1" applyFill="1" applyBorder="1" applyAlignment="1">
      <alignment horizontal="center" vertical="center"/>
    </xf>
    <xf numFmtId="0" fontId="5" fillId="9" borderId="0" xfId="49" applyNumberFormat="1" applyFont="1" applyFill="1" applyBorder="1" applyAlignment="1">
      <alignment vertical="center" wrapText="1"/>
    </xf>
    <xf numFmtId="0" fontId="5" fillId="10" borderId="0" xfId="49" applyNumberFormat="1" applyFont="1" applyFill="1" applyBorder="1" applyAlignment="1">
      <alignment horizontal="center" vertical="center" wrapText="1"/>
    </xf>
    <xf numFmtId="0" fontId="5" fillId="10" borderId="0" xfId="49" applyNumberFormat="1" applyFont="1" applyFill="1" applyBorder="1" applyAlignment="1">
      <alignment vertical="center" wrapText="1"/>
    </xf>
    <xf numFmtId="0" fontId="5" fillId="11" borderId="0" xfId="49" applyNumberFormat="1" applyFont="1" applyFill="1" applyBorder="1" applyAlignment="1">
      <alignment horizontal="center" vertical="center" wrapText="1"/>
    </xf>
    <xf numFmtId="0" fontId="5" fillId="11" borderId="0" xfId="49" applyNumberFormat="1" applyFont="1" applyFill="1" applyBorder="1" applyAlignment="1">
      <alignment vertical="center" wrapText="1"/>
    </xf>
    <xf numFmtId="0" fontId="1" fillId="14" borderId="0" xfId="49" applyNumberFormat="1" applyFont="1" applyFill="1" applyBorder="1" applyAlignment="1">
      <alignment horizontal="center" vertical="center"/>
    </xf>
    <xf numFmtId="0" fontId="3" fillId="14" borderId="0" xfId="49" applyNumberFormat="1" applyFont="1" applyFill="1" applyBorder="1" applyAlignment="1">
      <alignment horizontal="center" vertical="center"/>
    </xf>
    <xf numFmtId="0" fontId="1" fillId="15" borderId="0" xfId="49" applyNumberFormat="1" applyFont="1" applyFill="1" applyBorder="1" applyAlignment="1">
      <alignment horizontal="center" vertical="center"/>
    </xf>
    <xf numFmtId="0" fontId="3" fillId="15" borderId="0" xfId="49" applyNumberFormat="1" applyFont="1" applyFill="1" applyBorder="1" applyAlignment="1">
      <alignment horizontal="center" vertical="center"/>
    </xf>
    <xf numFmtId="0" fontId="1" fillId="16" borderId="0" xfId="49" applyNumberFormat="1" applyFont="1" applyFill="1" applyBorder="1" applyAlignment="1">
      <alignment horizontal="center" vertical="center"/>
    </xf>
    <xf numFmtId="0" fontId="3" fillId="16" borderId="0" xfId="49" applyNumberFormat="1" applyFont="1" applyFill="1" applyBorder="1" applyAlignment="1">
      <alignment horizontal="center" vertical="center"/>
    </xf>
    <xf numFmtId="0" fontId="5" fillId="9" borderId="0" xfId="49" applyNumberFormat="1" applyFont="1" applyFill="1" applyBorder="1" applyAlignment="1">
      <alignment horizontal="center" vertical="center" wrapText="1"/>
    </xf>
    <xf numFmtId="0" fontId="1" fillId="17" borderId="0" xfId="49" applyNumberFormat="1" applyFont="1" applyFill="1" applyBorder="1" applyAlignment="1">
      <alignment horizontal="center" vertical="center"/>
    </xf>
    <xf numFmtId="0" fontId="3" fillId="17" borderId="0" xfId="49" applyNumberFormat="1" applyFont="1" applyFill="1" applyBorder="1" applyAlignment="1">
      <alignment horizontal="center" vertical="center"/>
    </xf>
    <xf numFmtId="0" fontId="1" fillId="18" borderId="0" xfId="49" applyNumberFormat="1" applyFont="1" applyFill="1" applyBorder="1" applyAlignment="1">
      <alignment horizontal="center" vertical="center"/>
    </xf>
    <xf numFmtId="0" fontId="3" fillId="18" borderId="0" xfId="49" applyNumberFormat="1" applyFont="1" applyFill="1" applyBorder="1" applyAlignment="1">
      <alignment horizontal="center" vertical="center"/>
    </xf>
    <xf numFmtId="0" fontId="1" fillId="19" borderId="0" xfId="49" applyNumberFormat="1" applyFont="1" applyFill="1" applyBorder="1" applyAlignment="1">
      <alignment horizontal="center" vertical="center"/>
    </xf>
    <xf numFmtId="0" fontId="0" fillId="20" borderId="0" xfId="49" applyNumberFormat="1" applyFont="1" applyFill="1" applyBorder="1" applyAlignment="1">
      <alignment vertical="center" wrapText="1"/>
    </xf>
    <xf numFmtId="0" fontId="4" fillId="21" borderId="0" xfId="49" applyNumberFormat="1" applyFont="1" applyFill="1" applyBorder="1" applyAlignment="1">
      <alignment horizontal="center"/>
    </xf>
    <xf numFmtId="0" fontId="4" fillId="5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B20" sqref="B20"/>
    </sheetView>
  </sheetViews>
  <sheetFormatPr defaultColWidth="9" defaultRowHeight="14.25" outlineLevelCol="7"/>
  <cols>
    <col min="1" max="1" width="18" customWidth="1"/>
    <col min="2" max="2" width="46" customWidth="1"/>
    <col min="3" max="5" width="20" customWidth="1"/>
    <col min="6" max="6" width="65" customWidth="1"/>
    <col min="7" max="7" width="22" customWidth="1"/>
    <col min="8" max="8" width="16" customWidth="1"/>
  </cols>
  <sheetData>
    <row r="1" ht="32" customHeight="1" spans="1:8">
      <c r="A1" s="43" t="s">
        <v>0</v>
      </c>
      <c r="B1" s="43"/>
      <c r="C1" s="43"/>
      <c r="D1" s="43"/>
      <c r="E1" s="43"/>
      <c r="F1" s="43"/>
      <c r="G1" s="43"/>
      <c r="H1" s="43"/>
    </row>
    <row r="2" ht="42" customHeight="1" spans="1:8">
      <c r="A2" s="44" t="s">
        <v>1</v>
      </c>
      <c r="B2" s="44"/>
      <c r="C2" s="44"/>
      <c r="D2" s="44"/>
      <c r="E2" s="44"/>
      <c r="F2" s="44"/>
      <c r="G2" s="44"/>
      <c r="H2" s="44"/>
    </row>
    <row r="4" ht="15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23">
        <v>1</v>
      </c>
      <c r="B5" s="23" t="s">
        <v>10</v>
      </c>
      <c r="C5" s="23" t="s">
        <v>11</v>
      </c>
      <c r="D5" s="23" t="s">
        <v>12</v>
      </c>
      <c r="E5" s="23" t="s">
        <v>13</v>
      </c>
      <c r="F5" s="23" t="s">
        <v>14</v>
      </c>
      <c r="G5" s="23" t="s">
        <v>15</v>
      </c>
      <c r="H5" s="23" t="s">
        <v>16</v>
      </c>
    </row>
    <row r="6" spans="1:8">
      <c r="A6" s="24">
        <v>2</v>
      </c>
      <c r="B6" s="24" t="s">
        <v>17</v>
      </c>
      <c r="C6" s="24" t="s">
        <v>18</v>
      </c>
      <c r="D6" s="24" t="s">
        <v>19</v>
      </c>
      <c r="E6" s="24" t="s">
        <v>20</v>
      </c>
      <c r="F6" s="24" t="s">
        <v>21</v>
      </c>
      <c r="G6" s="24" t="s">
        <v>22</v>
      </c>
      <c r="H6" s="24" t="s">
        <v>23</v>
      </c>
    </row>
    <row r="7" spans="1:8">
      <c r="A7" s="23">
        <v>3</v>
      </c>
      <c r="B7" s="23" t="s">
        <v>24</v>
      </c>
      <c r="C7" s="23" t="s">
        <v>25</v>
      </c>
      <c r="D7" s="23" t="s">
        <v>26</v>
      </c>
      <c r="E7" s="23" t="s">
        <v>27</v>
      </c>
      <c r="F7" s="23" t="s">
        <v>21</v>
      </c>
      <c r="G7" s="23" t="s">
        <v>28</v>
      </c>
      <c r="H7" s="23" t="s">
        <v>29</v>
      </c>
    </row>
    <row r="8" spans="1:8">
      <c r="A8" s="24">
        <v>4</v>
      </c>
      <c r="B8" s="24" t="s">
        <v>30</v>
      </c>
      <c r="C8" s="24" t="s">
        <v>31</v>
      </c>
      <c r="D8" s="24" t="s">
        <v>32</v>
      </c>
      <c r="E8" s="24" t="s">
        <v>33</v>
      </c>
      <c r="F8" s="24" t="s">
        <v>21</v>
      </c>
      <c r="G8" s="24" t="s">
        <v>34</v>
      </c>
      <c r="H8" s="24" t="s">
        <v>35</v>
      </c>
    </row>
    <row r="9" spans="1:8">
      <c r="A9" s="23">
        <v>5</v>
      </c>
      <c r="B9" s="23" t="s">
        <v>36</v>
      </c>
      <c r="C9" s="23" t="s">
        <v>37</v>
      </c>
      <c r="D9" s="23" t="s">
        <v>38</v>
      </c>
      <c r="E9" s="23" t="s">
        <v>39</v>
      </c>
      <c r="F9" s="23" t="s">
        <v>21</v>
      </c>
      <c r="G9" s="23" t="s">
        <v>40</v>
      </c>
      <c r="H9" s="23" t="s">
        <v>41</v>
      </c>
    </row>
    <row r="10" spans="1:8">
      <c r="A10" s="24">
        <v>6</v>
      </c>
      <c r="B10" s="24" t="s">
        <v>42</v>
      </c>
      <c r="C10" s="24" t="s">
        <v>43</v>
      </c>
      <c r="D10" s="24" t="s">
        <v>44</v>
      </c>
      <c r="E10" s="24" t="s">
        <v>45</v>
      </c>
      <c r="F10" s="24" t="s">
        <v>21</v>
      </c>
      <c r="G10" s="24" t="s">
        <v>46</v>
      </c>
      <c r="H10" s="24" t="s">
        <v>47</v>
      </c>
    </row>
    <row r="11" spans="1:8">
      <c r="A11" s="23">
        <v>7</v>
      </c>
      <c r="B11" s="23" t="s">
        <v>48</v>
      </c>
      <c r="C11" s="23" t="s">
        <v>49</v>
      </c>
      <c r="D11" s="23" t="s">
        <v>50</v>
      </c>
      <c r="E11" s="23" t="s">
        <v>51</v>
      </c>
      <c r="F11" s="23" t="s">
        <v>21</v>
      </c>
      <c r="G11" s="23" t="s">
        <v>52</v>
      </c>
      <c r="H11" s="23" t="s">
        <v>53</v>
      </c>
    </row>
    <row r="14" ht="15" spans="1:8">
      <c r="A14" s="45" t="s">
        <v>54</v>
      </c>
      <c r="B14" s="45"/>
      <c r="C14" s="45"/>
      <c r="D14" s="45"/>
      <c r="E14" s="45"/>
      <c r="F14" s="45"/>
      <c r="G14" s="45"/>
      <c r="H14" s="45"/>
    </row>
    <row r="15" ht="15" spans="1:8">
      <c r="A15" s="46" t="s">
        <v>55</v>
      </c>
      <c r="B15" s="47" t="s">
        <v>56</v>
      </c>
      <c r="C15" s="47"/>
      <c r="D15" s="47"/>
      <c r="E15" s="47"/>
      <c r="F15" s="47"/>
      <c r="G15" s="47"/>
      <c r="H15" s="47"/>
    </row>
    <row r="16" ht="15" spans="1:8">
      <c r="A16" s="46" t="s">
        <v>57</v>
      </c>
      <c r="B16" s="47" t="s">
        <v>58</v>
      </c>
      <c r="C16" s="47"/>
      <c r="D16" s="47"/>
      <c r="E16" s="47"/>
      <c r="F16" s="47"/>
      <c r="G16" s="47"/>
      <c r="H16" s="47"/>
    </row>
    <row r="17" ht="15" spans="1:8">
      <c r="A17" s="46" t="s">
        <v>59</v>
      </c>
      <c r="B17" s="47" t="s">
        <v>60</v>
      </c>
      <c r="C17" s="47"/>
      <c r="D17" s="47"/>
      <c r="E17" s="47"/>
      <c r="F17" s="47"/>
      <c r="G17" s="47"/>
      <c r="H17" s="47"/>
    </row>
    <row r="18" spans="1:8">
      <c r="A18" s="46" t="s">
        <v>61</v>
      </c>
      <c r="B18" s="47" t="s">
        <v>62</v>
      </c>
      <c r="C18" s="47"/>
      <c r="D18" s="47"/>
      <c r="E18" s="47"/>
      <c r="F18" s="47"/>
      <c r="G18" s="47"/>
      <c r="H18" s="47"/>
    </row>
    <row r="19" spans="1:8">
      <c r="A19" s="46" t="s">
        <v>63</v>
      </c>
      <c r="B19" s="47" t="s">
        <v>64</v>
      </c>
      <c r="C19" s="47"/>
      <c r="D19" s="47"/>
      <c r="E19" s="47"/>
      <c r="F19" s="47"/>
      <c r="G19" s="47"/>
      <c r="H19" s="47"/>
    </row>
  </sheetData>
  <mergeCells count="8">
    <mergeCell ref="A1:H1"/>
    <mergeCell ref="A2:H2"/>
    <mergeCell ref="A14:H14"/>
    <mergeCell ref="B15:H15"/>
    <mergeCell ref="B16:H16"/>
    <mergeCell ref="B17:H17"/>
    <mergeCell ref="B18:H18"/>
    <mergeCell ref="B19:H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"/>
  <sheetViews>
    <sheetView topLeftCell="C2" workbookViewId="0">
      <selection activeCell="L18" sqref="L18"/>
    </sheetView>
  </sheetViews>
  <sheetFormatPr defaultColWidth="9" defaultRowHeight="14.25"/>
  <cols>
    <col min="1" max="1" width="8" customWidth="1"/>
    <col min="2" max="2" width="16" customWidth="1"/>
    <col min="3" max="3" width="9" customWidth="1"/>
    <col min="4" max="4" width="25" customWidth="1"/>
    <col min="5" max="5" width="16" customWidth="1"/>
    <col min="6" max="8" width="17" customWidth="1"/>
    <col min="9" max="9" width="12" customWidth="1"/>
    <col min="10" max="11" width="16" customWidth="1"/>
    <col min="12" max="12" width="58" customWidth="1"/>
    <col min="13" max="13" width="16" customWidth="1"/>
    <col min="14" max="14" width="38" customWidth="1"/>
    <col min="16" max="16" width="15" customWidth="1"/>
    <col min="17" max="17" width="20" customWidth="1"/>
    <col min="18" max="18" width="16" customWidth="1"/>
    <col min="19" max="19" width="18" customWidth="1"/>
    <col min="20" max="20" width="65" customWidth="1"/>
    <col min="21" max="21" width="40" customWidth="1"/>
    <col min="22" max="22" width="44" customWidth="1"/>
  </cols>
  <sheetData>
    <row r="1" ht="32" customHeight="1" spans="1:22">
      <c r="A1" s="41" t="s">
        <v>10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ht="42" customHeight="1" spans="1:22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0" customHeight="1" spans="1:22">
      <c r="A4" s="3" t="s">
        <v>2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</v>
      </c>
      <c r="N4" s="3" t="s">
        <v>77</v>
      </c>
      <c r="P4" s="42" t="s">
        <v>78</v>
      </c>
      <c r="Q4" s="42"/>
      <c r="R4" s="42"/>
      <c r="S4" s="42"/>
      <c r="T4" s="42"/>
      <c r="U4" s="42"/>
      <c r="V4" s="42"/>
    </row>
    <row r="5" ht="30" customHeight="1" spans="1:22">
      <c r="A5" s="5">
        <v>1</v>
      </c>
      <c r="B5" s="5" t="s">
        <v>79</v>
      </c>
      <c r="C5" s="5" t="s">
        <v>80</v>
      </c>
      <c r="D5" s="5" t="s">
        <v>81</v>
      </c>
      <c r="E5" s="6">
        <v>172</v>
      </c>
      <c r="F5" s="6" t="s">
        <v>82</v>
      </c>
      <c r="G5" s="6">
        <v>0</v>
      </c>
      <c r="H5" s="6">
        <v>50</v>
      </c>
      <c r="I5" s="6">
        <v>0</v>
      </c>
      <c r="J5" s="6">
        <f>G5</f>
        <v>0</v>
      </c>
      <c r="K5" s="6">
        <f>H5</f>
        <v>50</v>
      </c>
      <c r="L5" s="7" t="s">
        <v>83</v>
      </c>
      <c r="M5" s="7" t="s">
        <v>16</v>
      </c>
      <c r="N5" s="7" t="s">
        <v>84</v>
      </c>
      <c r="P5" s="8" t="s">
        <v>66</v>
      </c>
      <c r="Q5" s="8" t="s">
        <v>85</v>
      </c>
      <c r="R5" s="8" t="s">
        <v>86</v>
      </c>
      <c r="S5" s="8" t="s">
        <v>87</v>
      </c>
      <c r="T5" s="8" t="s">
        <v>88</v>
      </c>
      <c r="U5" s="8" t="s">
        <v>89</v>
      </c>
      <c r="V5" s="8" t="s">
        <v>77</v>
      </c>
    </row>
    <row r="6" ht="28.5" spans="1:22">
      <c r="A6" s="5">
        <v>2</v>
      </c>
      <c r="B6" s="5" t="s">
        <v>79</v>
      </c>
      <c r="C6" s="5" t="s">
        <v>80</v>
      </c>
      <c r="D6" s="5" t="s">
        <v>59</v>
      </c>
      <c r="E6" s="6">
        <v>251</v>
      </c>
      <c r="F6" s="6">
        <f t="shared" ref="F6:F29" si="0">E6-E5</f>
        <v>79</v>
      </c>
      <c r="G6" s="6">
        <v>0</v>
      </c>
      <c r="H6" s="6">
        <v>100</v>
      </c>
      <c r="I6" s="6">
        <v>0</v>
      </c>
      <c r="J6" s="6">
        <f t="shared" ref="J6:J29" si="1">J5+G6</f>
        <v>0</v>
      </c>
      <c r="K6" s="6">
        <f t="shared" ref="K6:K29" si="2">K5+H6</f>
        <v>150</v>
      </c>
      <c r="L6" s="7" t="s">
        <v>83</v>
      </c>
      <c r="M6" s="7" t="s">
        <v>16</v>
      </c>
      <c r="N6" s="7" t="s">
        <v>90</v>
      </c>
      <c r="P6" s="9" t="s">
        <v>4</v>
      </c>
      <c r="Q6" s="9" t="s">
        <v>91</v>
      </c>
      <c r="R6" s="9" t="s">
        <v>92</v>
      </c>
      <c r="S6" s="9" t="s">
        <v>93</v>
      </c>
      <c r="T6" s="9" t="s">
        <v>94</v>
      </c>
      <c r="U6" s="9" t="s">
        <v>95</v>
      </c>
      <c r="V6" s="9" t="s">
        <v>96</v>
      </c>
    </row>
    <row r="7" ht="28.5" spans="1:22">
      <c r="A7" s="5">
        <v>3</v>
      </c>
      <c r="B7" s="5" t="s">
        <v>79</v>
      </c>
      <c r="C7" s="5" t="s">
        <v>80</v>
      </c>
      <c r="D7" s="5" t="s">
        <v>97</v>
      </c>
      <c r="E7" s="6">
        <v>301</v>
      </c>
      <c r="F7" s="6">
        <f t="shared" si="0"/>
        <v>50</v>
      </c>
      <c r="G7" s="6">
        <v>0</v>
      </c>
      <c r="H7" s="6">
        <v>200</v>
      </c>
      <c r="I7" s="6">
        <v>0</v>
      </c>
      <c r="J7" s="6">
        <f t="shared" si="1"/>
        <v>0</v>
      </c>
      <c r="K7" s="6">
        <f t="shared" si="2"/>
        <v>350</v>
      </c>
      <c r="L7" s="7" t="s">
        <v>83</v>
      </c>
      <c r="M7" s="7" t="s">
        <v>16</v>
      </c>
      <c r="N7" s="7" t="s">
        <v>80</v>
      </c>
      <c r="P7" s="10" t="s">
        <v>4</v>
      </c>
      <c r="Q7" s="10" t="s">
        <v>91</v>
      </c>
      <c r="R7" s="10" t="s">
        <v>98</v>
      </c>
      <c r="S7" s="10" t="s">
        <v>99</v>
      </c>
      <c r="T7" s="10" t="s">
        <v>100</v>
      </c>
      <c r="U7" s="10" t="s">
        <v>101</v>
      </c>
      <c r="V7" s="10" t="s">
        <v>102</v>
      </c>
    </row>
    <row r="8" spans="1:22">
      <c r="A8" s="5">
        <v>4</v>
      </c>
      <c r="B8" s="5" t="s">
        <v>79</v>
      </c>
      <c r="C8" s="5" t="s">
        <v>80</v>
      </c>
      <c r="D8" s="5" t="s">
        <v>103</v>
      </c>
      <c r="E8" s="6">
        <v>401</v>
      </c>
      <c r="F8" s="6">
        <f t="shared" si="0"/>
        <v>100</v>
      </c>
      <c r="G8" s="6">
        <v>0</v>
      </c>
      <c r="H8" s="6">
        <v>250</v>
      </c>
      <c r="I8" s="6">
        <v>0</v>
      </c>
      <c r="J8" s="6">
        <f t="shared" si="1"/>
        <v>0</v>
      </c>
      <c r="K8" s="6">
        <f t="shared" si="2"/>
        <v>600</v>
      </c>
      <c r="L8" s="7" t="s">
        <v>83</v>
      </c>
      <c r="M8" s="7" t="s">
        <v>16</v>
      </c>
      <c r="N8" s="7" t="s">
        <v>80</v>
      </c>
      <c r="P8" s="9" t="s">
        <v>5</v>
      </c>
      <c r="Q8" s="9" t="s">
        <v>12</v>
      </c>
      <c r="R8" s="9" t="s">
        <v>92</v>
      </c>
      <c r="S8" s="9" t="s">
        <v>93</v>
      </c>
      <c r="T8" s="9" t="s">
        <v>104</v>
      </c>
      <c r="U8" s="9" t="s">
        <v>105</v>
      </c>
      <c r="V8" s="9" t="s">
        <v>106</v>
      </c>
    </row>
    <row r="9" spans="1:22">
      <c r="A9" s="5">
        <v>5</v>
      </c>
      <c r="B9" s="5" t="s">
        <v>79</v>
      </c>
      <c r="C9" s="5" t="s">
        <v>80</v>
      </c>
      <c r="D9" s="5" t="s">
        <v>107</v>
      </c>
      <c r="E9" s="6">
        <v>501</v>
      </c>
      <c r="F9" s="6">
        <f t="shared" si="0"/>
        <v>100</v>
      </c>
      <c r="G9" s="6">
        <v>0</v>
      </c>
      <c r="H9" s="6">
        <v>300</v>
      </c>
      <c r="I9" s="6">
        <v>0</v>
      </c>
      <c r="J9" s="6">
        <f t="shared" si="1"/>
        <v>0</v>
      </c>
      <c r="K9" s="6">
        <f t="shared" si="2"/>
        <v>900</v>
      </c>
      <c r="L9" s="7" t="s">
        <v>83</v>
      </c>
      <c r="M9" s="7" t="s">
        <v>16</v>
      </c>
      <c r="N9" s="7" t="s">
        <v>80</v>
      </c>
      <c r="P9" s="10" t="s">
        <v>5</v>
      </c>
      <c r="Q9" s="10" t="s">
        <v>12</v>
      </c>
      <c r="R9" s="10" t="s">
        <v>98</v>
      </c>
      <c r="S9" s="10" t="s">
        <v>99</v>
      </c>
      <c r="T9" s="10" t="s">
        <v>108</v>
      </c>
      <c r="U9" s="10" t="s">
        <v>109</v>
      </c>
      <c r="V9" s="10" t="s">
        <v>102</v>
      </c>
    </row>
    <row r="10" spans="1:22">
      <c r="A10" s="11">
        <v>6</v>
      </c>
      <c r="B10" s="11" t="s">
        <v>11</v>
      </c>
      <c r="C10" s="11" t="s">
        <v>110</v>
      </c>
      <c r="D10" s="38" t="s">
        <v>111</v>
      </c>
      <c r="E10" s="12">
        <v>901</v>
      </c>
      <c r="F10" s="12">
        <f t="shared" si="0"/>
        <v>400</v>
      </c>
      <c r="G10" s="12">
        <v>20</v>
      </c>
      <c r="H10" s="12">
        <v>1000</v>
      </c>
      <c r="I10" s="12">
        <v>1</v>
      </c>
      <c r="J10" s="12">
        <f t="shared" si="1"/>
        <v>20</v>
      </c>
      <c r="K10" s="12">
        <f t="shared" si="2"/>
        <v>1900</v>
      </c>
      <c r="L10" s="27" t="s">
        <v>112</v>
      </c>
      <c r="M10" s="13" t="s">
        <v>16</v>
      </c>
      <c r="N10" s="13" t="s">
        <v>113</v>
      </c>
      <c r="P10" s="9" t="s">
        <v>6</v>
      </c>
      <c r="Q10" s="9" t="s">
        <v>13</v>
      </c>
      <c r="R10" s="9" t="s">
        <v>98</v>
      </c>
      <c r="S10" s="9" t="s">
        <v>114</v>
      </c>
      <c r="T10" s="9" t="s">
        <v>115</v>
      </c>
      <c r="U10" s="9" t="s">
        <v>116</v>
      </c>
      <c r="V10" s="9" t="s">
        <v>102</v>
      </c>
    </row>
    <row r="11" spans="1:22">
      <c r="A11" s="11">
        <v>7</v>
      </c>
      <c r="B11" s="11" t="s">
        <v>11</v>
      </c>
      <c r="C11" s="11" t="s">
        <v>110</v>
      </c>
      <c r="D11" s="11" t="s">
        <v>117</v>
      </c>
      <c r="E11" s="12">
        <v>1501</v>
      </c>
      <c r="F11" s="12">
        <f t="shared" si="0"/>
        <v>600</v>
      </c>
      <c r="G11" s="12">
        <v>50</v>
      </c>
      <c r="H11" s="12">
        <v>1500</v>
      </c>
      <c r="I11" s="12">
        <v>0</v>
      </c>
      <c r="J11" s="12">
        <f t="shared" si="1"/>
        <v>70</v>
      </c>
      <c r="K11" s="12">
        <f t="shared" si="2"/>
        <v>3400</v>
      </c>
      <c r="L11" s="27" t="s">
        <v>118</v>
      </c>
      <c r="M11" s="13" t="s">
        <v>16</v>
      </c>
      <c r="N11" s="13" t="s">
        <v>80</v>
      </c>
    </row>
    <row r="12" spans="1:22">
      <c r="A12" s="11">
        <v>8</v>
      </c>
      <c r="B12" s="11" t="s">
        <v>11</v>
      </c>
      <c r="C12" s="11" t="s">
        <v>110</v>
      </c>
      <c r="D12" s="11" t="s">
        <v>119</v>
      </c>
      <c r="E12" s="12">
        <v>2101</v>
      </c>
      <c r="F12" s="12">
        <f t="shared" si="0"/>
        <v>600</v>
      </c>
      <c r="G12" s="12">
        <v>200</v>
      </c>
      <c r="H12" s="12">
        <v>2000</v>
      </c>
      <c r="I12" s="12">
        <v>0</v>
      </c>
      <c r="J12" s="12">
        <f t="shared" si="1"/>
        <v>270</v>
      </c>
      <c r="K12" s="12">
        <f t="shared" si="2"/>
        <v>5400</v>
      </c>
      <c r="L12" s="13" t="s">
        <v>120</v>
      </c>
      <c r="M12" s="13" t="s">
        <v>16</v>
      </c>
      <c r="N12" s="13" t="s">
        <v>80</v>
      </c>
    </row>
    <row r="13" spans="1:22">
      <c r="A13" s="11">
        <v>9</v>
      </c>
      <c r="B13" s="11" t="s">
        <v>11</v>
      </c>
      <c r="C13" s="11" t="s">
        <v>110</v>
      </c>
      <c r="D13" s="11" t="s">
        <v>121</v>
      </c>
      <c r="E13" s="12">
        <v>3901</v>
      </c>
      <c r="F13" s="12">
        <f t="shared" si="0"/>
        <v>1800</v>
      </c>
      <c r="G13" s="12">
        <v>500</v>
      </c>
      <c r="H13" s="12">
        <v>2500</v>
      </c>
      <c r="I13" s="12">
        <v>0</v>
      </c>
      <c r="J13" s="12">
        <f t="shared" si="1"/>
        <v>770</v>
      </c>
      <c r="K13" s="12">
        <f t="shared" si="2"/>
        <v>7900</v>
      </c>
      <c r="L13" s="13" t="s">
        <v>122</v>
      </c>
      <c r="M13" s="13" t="s">
        <v>16</v>
      </c>
      <c r="N13" s="13" t="s">
        <v>80</v>
      </c>
    </row>
    <row r="14" spans="1:22">
      <c r="A14" s="11">
        <v>10</v>
      </c>
      <c r="B14" s="11" t="s">
        <v>11</v>
      </c>
      <c r="C14" s="11" t="s">
        <v>110</v>
      </c>
      <c r="D14" s="11" t="s">
        <v>123</v>
      </c>
      <c r="E14" s="12">
        <v>6101</v>
      </c>
      <c r="F14" s="12">
        <f t="shared" si="0"/>
        <v>2200</v>
      </c>
      <c r="G14" s="12">
        <v>1000</v>
      </c>
      <c r="H14" s="12">
        <v>3000</v>
      </c>
      <c r="I14" s="12">
        <v>0</v>
      </c>
      <c r="J14" s="12">
        <f t="shared" si="1"/>
        <v>1770</v>
      </c>
      <c r="K14" s="12">
        <f t="shared" si="2"/>
        <v>10900</v>
      </c>
      <c r="L14" s="27" t="s">
        <v>124</v>
      </c>
      <c r="M14" s="13" t="s">
        <v>16</v>
      </c>
      <c r="N14" s="13" t="s">
        <v>80</v>
      </c>
    </row>
    <row r="15" ht="28.5" spans="1:22">
      <c r="A15" s="14">
        <v>11</v>
      </c>
      <c r="B15" s="14" t="s">
        <v>12</v>
      </c>
      <c r="C15" s="14" t="s">
        <v>125</v>
      </c>
      <c r="D15" s="28" t="s">
        <v>126</v>
      </c>
      <c r="E15" s="15">
        <v>12101</v>
      </c>
      <c r="F15" s="15">
        <f t="shared" si="0"/>
        <v>6000</v>
      </c>
      <c r="G15" s="15">
        <v>1000</v>
      </c>
      <c r="H15" s="15">
        <v>20000</v>
      </c>
      <c r="I15" s="15">
        <v>1</v>
      </c>
      <c r="J15" s="15">
        <f t="shared" si="1"/>
        <v>2770</v>
      </c>
      <c r="K15" s="15">
        <f t="shared" si="2"/>
        <v>30900</v>
      </c>
      <c r="L15" s="16" t="s">
        <v>127</v>
      </c>
      <c r="M15" s="16" t="s">
        <v>16</v>
      </c>
      <c r="N15" s="16" t="s">
        <v>128</v>
      </c>
    </row>
    <row r="16" ht="28.5" spans="1:22">
      <c r="A16" s="14">
        <v>12</v>
      </c>
      <c r="B16" s="14" t="s">
        <v>12</v>
      </c>
      <c r="C16" s="14" t="s">
        <v>125</v>
      </c>
      <c r="D16" s="14" t="s">
        <v>129</v>
      </c>
      <c r="E16" s="15">
        <v>35101</v>
      </c>
      <c r="F16" s="15">
        <f t="shared" si="0"/>
        <v>23000</v>
      </c>
      <c r="G16" s="15">
        <v>2000</v>
      </c>
      <c r="H16" s="15">
        <v>40000</v>
      </c>
      <c r="I16" s="15">
        <v>0</v>
      </c>
      <c r="J16" s="15">
        <f t="shared" si="1"/>
        <v>4770</v>
      </c>
      <c r="K16" s="15">
        <f t="shared" si="2"/>
        <v>70900</v>
      </c>
      <c r="L16" s="16" t="s">
        <v>130</v>
      </c>
      <c r="M16" s="16" t="s">
        <v>16</v>
      </c>
      <c r="N16" s="16" t="s">
        <v>80</v>
      </c>
    </row>
    <row r="17" ht="28.5" spans="1:14">
      <c r="A17" s="14">
        <v>13</v>
      </c>
      <c r="B17" s="14" t="s">
        <v>12</v>
      </c>
      <c r="C17" s="14" t="s">
        <v>125</v>
      </c>
      <c r="D17" s="14" t="s">
        <v>131</v>
      </c>
      <c r="E17" s="15">
        <v>50101</v>
      </c>
      <c r="F17" s="15">
        <f t="shared" si="0"/>
        <v>15000</v>
      </c>
      <c r="G17" s="15">
        <v>5000</v>
      </c>
      <c r="H17" s="15">
        <v>60000</v>
      </c>
      <c r="I17" s="15">
        <v>0</v>
      </c>
      <c r="J17" s="15">
        <f t="shared" si="1"/>
        <v>9770</v>
      </c>
      <c r="K17" s="15">
        <f t="shared" si="2"/>
        <v>130900</v>
      </c>
      <c r="L17" s="29" t="s">
        <v>132</v>
      </c>
      <c r="M17" s="16" t="s">
        <v>16</v>
      </c>
      <c r="N17" s="16" t="s">
        <v>80</v>
      </c>
    </row>
    <row r="18" ht="28.5" spans="1:14">
      <c r="A18" s="14">
        <v>14</v>
      </c>
      <c r="B18" s="14" t="s">
        <v>12</v>
      </c>
      <c r="C18" s="14" t="s">
        <v>125</v>
      </c>
      <c r="D18" s="14" t="s">
        <v>133</v>
      </c>
      <c r="E18" s="15">
        <v>75101</v>
      </c>
      <c r="F18" s="15">
        <f t="shared" si="0"/>
        <v>25000</v>
      </c>
      <c r="G18" s="15">
        <v>10000</v>
      </c>
      <c r="H18" s="15">
        <v>100000</v>
      </c>
      <c r="I18" s="15">
        <v>0</v>
      </c>
      <c r="J18" s="15">
        <f t="shared" si="1"/>
        <v>19770</v>
      </c>
      <c r="K18" s="15">
        <f t="shared" si="2"/>
        <v>230900</v>
      </c>
      <c r="L18" s="16" t="s">
        <v>134</v>
      </c>
      <c r="M18" s="16" t="s">
        <v>16</v>
      </c>
      <c r="N18" s="16" t="s">
        <v>80</v>
      </c>
    </row>
    <row r="19" ht="28.5" spans="1:14">
      <c r="A19" s="14">
        <v>15</v>
      </c>
      <c r="B19" s="14" t="s">
        <v>12</v>
      </c>
      <c r="C19" s="14" t="s">
        <v>125</v>
      </c>
      <c r="D19" s="28" t="s">
        <v>135</v>
      </c>
      <c r="E19" s="15">
        <v>108101</v>
      </c>
      <c r="F19" s="15">
        <f t="shared" si="0"/>
        <v>33000</v>
      </c>
      <c r="G19" s="15">
        <v>20000</v>
      </c>
      <c r="H19" s="15">
        <v>100000</v>
      </c>
      <c r="I19" s="15">
        <v>0</v>
      </c>
      <c r="J19" s="15">
        <f t="shared" si="1"/>
        <v>39770</v>
      </c>
      <c r="K19" s="15">
        <f t="shared" si="2"/>
        <v>330900</v>
      </c>
      <c r="L19" s="29" t="s">
        <v>136</v>
      </c>
      <c r="M19" s="16" t="s">
        <v>16</v>
      </c>
      <c r="N19" s="16" t="s">
        <v>80</v>
      </c>
    </row>
    <row r="20" ht="42.75" spans="1:14">
      <c r="A20" s="17">
        <v>16</v>
      </c>
      <c r="B20" s="17" t="s">
        <v>13</v>
      </c>
      <c r="C20" s="17" t="s">
        <v>137</v>
      </c>
      <c r="D20" s="17" t="s">
        <v>138</v>
      </c>
      <c r="E20" s="18">
        <v>308101</v>
      </c>
      <c r="F20" s="18">
        <f t="shared" si="0"/>
        <v>200000</v>
      </c>
      <c r="G20" s="18">
        <v>30000</v>
      </c>
      <c r="H20" s="18">
        <v>200000</v>
      </c>
      <c r="I20" s="18">
        <v>2</v>
      </c>
      <c r="J20" s="18">
        <f t="shared" si="1"/>
        <v>69770</v>
      </c>
      <c r="K20" s="18">
        <f t="shared" si="2"/>
        <v>530900</v>
      </c>
      <c r="L20" s="19" t="s">
        <v>139</v>
      </c>
      <c r="M20" s="19" t="s">
        <v>16</v>
      </c>
      <c r="N20" s="19" t="s">
        <v>140</v>
      </c>
    </row>
    <row r="21" ht="42.75" spans="1:14">
      <c r="A21" s="17">
        <v>17</v>
      </c>
      <c r="B21" s="17" t="s">
        <v>13</v>
      </c>
      <c r="C21" s="17" t="s">
        <v>137</v>
      </c>
      <c r="D21" s="17" t="s">
        <v>141</v>
      </c>
      <c r="E21" s="18">
        <v>508101</v>
      </c>
      <c r="F21" s="18">
        <f t="shared" si="0"/>
        <v>200000</v>
      </c>
      <c r="G21" s="18">
        <v>60000</v>
      </c>
      <c r="H21" s="18">
        <v>200000</v>
      </c>
      <c r="I21" s="18">
        <v>0</v>
      </c>
      <c r="J21" s="18">
        <f t="shared" si="1"/>
        <v>129770</v>
      </c>
      <c r="K21" s="18">
        <f t="shared" si="2"/>
        <v>730900</v>
      </c>
      <c r="L21" s="19" t="s">
        <v>139</v>
      </c>
      <c r="M21" s="19" t="s">
        <v>16</v>
      </c>
      <c r="N21" s="19" t="s">
        <v>80</v>
      </c>
    </row>
    <row r="22" ht="42.75" spans="1:14">
      <c r="A22" s="17">
        <v>18</v>
      </c>
      <c r="B22" s="17" t="s">
        <v>13</v>
      </c>
      <c r="C22" s="17" t="s">
        <v>137</v>
      </c>
      <c r="D22" s="30" t="s">
        <v>142</v>
      </c>
      <c r="E22" s="18">
        <v>808101</v>
      </c>
      <c r="F22" s="18">
        <f t="shared" si="0"/>
        <v>300000</v>
      </c>
      <c r="G22" s="18">
        <v>90000</v>
      </c>
      <c r="H22" s="18">
        <v>200000</v>
      </c>
      <c r="I22" s="18">
        <v>0</v>
      </c>
      <c r="J22" s="18">
        <f t="shared" si="1"/>
        <v>219770</v>
      </c>
      <c r="K22" s="18">
        <f t="shared" si="2"/>
        <v>930900</v>
      </c>
      <c r="L22" s="19" t="s">
        <v>139</v>
      </c>
      <c r="M22" s="19" t="s">
        <v>16</v>
      </c>
      <c r="N22" s="19" t="s">
        <v>80</v>
      </c>
    </row>
    <row r="23" ht="42.75" spans="1:14">
      <c r="A23" s="17">
        <v>19</v>
      </c>
      <c r="B23" s="17" t="s">
        <v>13</v>
      </c>
      <c r="C23" s="17" t="s">
        <v>137</v>
      </c>
      <c r="D23" s="17" t="s">
        <v>143</v>
      </c>
      <c r="E23" s="18">
        <v>1008101</v>
      </c>
      <c r="F23" s="18">
        <f t="shared" si="0"/>
        <v>200000</v>
      </c>
      <c r="G23" s="18">
        <v>120000</v>
      </c>
      <c r="H23" s="18">
        <v>200000</v>
      </c>
      <c r="I23" s="18">
        <v>0</v>
      </c>
      <c r="J23" s="18">
        <f t="shared" si="1"/>
        <v>339770</v>
      </c>
      <c r="K23" s="18">
        <f t="shared" si="2"/>
        <v>1130900</v>
      </c>
      <c r="L23" s="19" t="s">
        <v>139</v>
      </c>
      <c r="M23" s="19" t="s">
        <v>16</v>
      </c>
      <c r="N23" s="19" t="s">
        <v>80</v>
      </c>
    </row>
    <row r="24" ht="42.75" spans="1:14">
      <c r="A24" s="17">
        <v>20</v>
      </c>
      <c r="B24" s="17" t="s">
        <v>13</v>
      </c>
      <c r="C24" s="17" t="s">
        <v>137</v>
      </c>
      <c r="D24" s="17" t="s">
        <v>144</v>
      </c>
      <c r="E24" s="18">
        <v>1508101</v>
      </c>
      <c r="F24" s="18">
        <f t="shared" si="0"/>
        <v>500000</v>
      </c>
      <c r="G24" s="18">
        <v>150000</v>
      </c>
      <c r="H24" s="18">
        <v>200000</v>
      </c>
      <c r="I24" s="18">
        <v>0</v>
      </c>
      <c r="J24" s="18">
        <f t="shared" si="1"/>
        <v>489770</v>
      </c>
      <c r="K24" s="18">
        <f t="shared" si="2"/>
        <v>1330900</v>
      </c>
      <c r="L24" s="31" t="s">
        <v>145</v>
      </c>
      <c r="M24" s="19" t="s">
        <v>16</v>
      </c>
      <c r="N24" s="19" t="s">
        <v>80</v>
      </c>
    </row>
    <row r="25" ht="42.75" spans="1:14">
      <c r="A25" s="17">
        <v>21</v>
      </c>
      <c r="B25" s="17" t="s">
        <v>13</v>
      </c>
      <c r="C25" s="17" t="s">
        <v>146</v>
      </c>
      <c r="D25" s="17" t="s">
        <v>147</v>
      </c>
      <c r="E25" s="18">
        <v>2008101</v>
      </c>
      <c r="F25" s="18">
        <f t="shared" si="0"/>
        <v>500000</v>
      </c>
      <c r="G25" s="18">
        <v>200000</v>
      </c>
      <c r="H25" s="18">
        <v>400000</v>
      </c>
      <c r="I25" s="18">
        <v>0</v>
      </c>
      <c r="J25" s="18">
        <f t="shared" si="1"/>
        <v>689770</v>
      </c>
      <c r="K25" s="18">
        <f t="shared" si="2"/>
        <v>1730900</v>
      </c>
      <c r="L25" s="19" t="s">
        <v>139</v>
      </c>
      <c r="M25" s="19" t="s">
        <v>16</v>
      </c>
      <c r="N25" s="19" t="s">
        <v>148</v>
      </c>
    </row>
    <row r="26" ht="42.75" spans="1:14">
      <c r="A26" s="17">
        <v>22</v>
      </c>
      <c r="B26" s="17" t="s">
        <v>13</v>
      </c>
      <c r="C26" s="17" t="s">
        <v>146</v>
      </c>
      <c r="D26" s="17" t="s">
        <v>149</v>
      </c>
      <c r="E26" s="18">
        <v>3008101</v>
      </c>
      <c r="F26" s="18">
        <f t="shared" si="0"/>
        <v>1000000</v>
      </c>
      <c r="G26" s="18">
        <v>250000</v>
      </c>
      <c r="H26" s="18">
        <v>500000</v>
      </c>
      <c r="I26" s="18">
        <v>0</v>
      </c>
      <c r="J26" s="18">
        <f t="shared" si="1"/>
        <v>939770</v>
      </c>
      <c r="K26" s="18">
        <f t="shared" si="2"/>
        <v>2230900</v>
      </c>
      <c r="L26" s="19" t="s">
        <v>139</v>
      </c>
      <c r="M26" s="19" t="s">
        <v>16</v>
      </c>
      <c r="N26" s="19" t="s">
        <v>80</v>
      </c>
    </row>
    <row r="27" ht="42.75" spans="1:14">
      <c r="A27" s="17">
        <v>23</v>
      </c>
      <c r="B27" s="17" t="s">
        <v>13</v>
      </c>
      <c r="C27" s="17" t="s">
        <v>146</v>
      </c>
      <c r="D27" s="17" t="s">
        <v>150</v>
      </c>
      <c r="E27" s="18">
        <v>4008101</v>
      </c>
      <c r="F27" s="18">
        <f t="shared" si="0"/>
        <v>1000000</v>
      </c>
      <c r="G27" s="18">
        <v>300000</v>
      </c>
      <c r="H27" s="18">
        <v>600000</v>
      </c>
      <c r="I27" s="18">
        <v>0</v>
      </c>
      <c r="J27" s="18">
        <f t="shared" si="1"/>
        <v>1239770</v>
      </c>
      <c r="K27" s="18">
        <f t="shared" si="2"/>
        <v>2830900</v>
      </c>
      <c r="L27" s="19" t="s">
        <v>139</v>
      </c>
      <c r="M27" s="19" t="s">
        <v>16</v>
      </c>
      <c r="N27" s="19" t="s">
        <v>80</v>
      </c>
    </row>
    <row r="28" ht="42.75" spans="1:14">
      <c r="A28" s="17">
        <v>24</v>
      </c>
      <c r="B28" s="17" t="s">
        <v>13</v>
      </c>
      <c r="C28" s="17" t="s">
        <v>146</v>
      </c>
      <c r="D28" s="17" t="s">
        <v>151</v>
      </c>
      <c r="E28" s="18">
        <v>5008101</v>
      </c>
      <c r="F28" s="18">
        <f t="shared" si="0"/>
        <v>1000000</v>
      </c>
      <c r="G28" s="18">
        <v>350000</v>
      </c>
      <c r="H28" s="18">
        <v>700000</v>
      </c>
      <c r="I28" s="18">
        <v>0</v>
      </c>
      <c r="J28" s="18">
        <f t="shared" si="1"/>
        <v>1589770</v>
      </c>
      <c r="K28" s="18">
        <f t="shared" si="2"/>
        <v>3530900</v>
      </c>
      <c r="L28" s="19" t="s">
        <v>139</v>
      </c>
      <c r="M28" s="19" t="s">
        <v>16</v>
      </c>
      <c r="N28" s="19" t="s">
        <v>80</v>
      </c>
    </row>
    <row r="29" ht="42.75" spans="1:14">
      <c r="A29" s="17">
        <v>25</v>
      </c>
      <c r="B29" s="17" t="s">
        <v>13</v>
      </c>
      <c r="C29" s="17" t="s">
        <v>146</v>
      </c>
      <c r="D29" s="17" t="s">
        <v>152</v>
      </c>
      <c r="E29" s="18">
        <v>6008101</v>
      </c>
      <c r="F29" s="18">
        <f t="shared" si="0"/>
        <v>1000000</v>
      </c>
      <c r="G29" s="18">
        <v>400000</v>
      </c>
      <c r="H29" s="18">
        <v>800000</v>
      </c>
      <c r="I29" s="18">
        <v>0</v>
      </c>
      <c r="J29" s="18">
        <f t="shared" si="1"/>
        <v>1989770</v>
      </c>
      <c r="K29" s="18">
        <f t="shared" si="2"/>
        <v>4330900</v>
      </c>
      <c r="L29" s="31" t="s">
        <v>153</v>
      </c>
      <c r="M29" s="19" t="s">
        <v>16</v>
      </c>
      <c r="N29" s="19" t="s">
        <v>80</v>
      </c>
    </row>
    <row r="31" ht="32" customHeight="1" spans="1:14">
      <c r="A31" s="20" t="s">
        <v>154</v>
      </c>
      <c r="B31" s="20"/>
      <c r="C31" s="20"/>
      <c r="D31" s="20"/>
      <c r="E31" s="20"/>
      <c r="F31" s="20"/>
      <c r="G31" s="21">
        <f>SUM(G5:G29)</f>
        <v>1989770</v>
      </c>
      <c r="H31" s="21">
        <f>SUM(H5:H29)</f>
        <v>4330900</v>
      </c>
      <c r="I31" s="21">
        <f>SUM(I5:I29)</f>
        <v>4</v>
      </c>
      <c r="J31" s="20" t="s">
        <v>155</v>
      </c>
      <c r="K31" s="20"/>
      <c r="L31" s="20"/>
      <c r="M31" s="20"/>
      <c r="N31" s="20"/>
    </row>
    <row r="34" ht="28" customHeight="1" spans="1:7">
      <c r="A34" s="42"/>
      <c r="B34" s="42"/>
      <c r="C34" s="42"/>
      <c r="D34" s="42"/>
      <c r="E34" s="42"/>
      <c r="F34" s="42"/>
      <c r="G34" s="42"/>
    </row>
    <row r="35" ht="15" spans="1:7">
      <c r="A35" s="22"/>
      <c r="B35" s="22"/>
      <c r="C35" s="22"/>
      <c r="D35" s="22"/>
      <c r="E35" s="22"/>
      <c r="F35" s="22"/>
      <c r="G35" s="22"/>
    </row>
    <row r="36" spans="1:7">
      <c r="A36" s="23"/>
      <c r="B36" s="23"/>
      <c r="C36" s="23"/>
      <c r="D36" s="23"/>
      <c r="E36" s="23"/>
      <c r="F36" s="23"/>
      <c r="G36" s="23"/>
    </row>
    <row r="37" spans="1:7">
      <c r="A37" s="24"/>
      <c r="B37" s="24"/>
      <c r="C37" s="24"/>
      <c r="D37" s="24"/>
      <c r="E37" s="24"/>
      <c r="F37" s="24"/>
      <c r="G37" s="24"/>
    </row>
    <row r="38" spans="1:7">
      <c r="A38" s="23"/>
      <c r="B38" s="23"/>
      <c r="C38" s="23"/>
      <c r="D38" s="23"/>
      <c r="E38" s="23"/>
      <c r="F38" s="23"/>
      <c r="G38" s="23"/>
    </row>
    <row r="39" spans="1:7">
      <c r="A39" s="24"/>
      <c r="B39" s="24"/>
      <c r="C39" s="24"/>
      <c r="D39" s="24"/>
      <c r="E39" s="24"/>
      <c r="F39" s="24"/>
      <c r="G39" s="24"/>
    </row>
    <row r="40" spans="1:7">
      <c r="A40" s="23"/>
      <c r="B40" s="23"/>
      <c r="C40" s="23"/>
      <c r="D40" s="23"/>
      <c r="E40" s="23"/>
      <c r="F40" s="23"/>
      <c r="G40" s="23"/>
    </row>
  </sheetData>
  <mergeCells count="6">
    <mergeCell ref="A1:N1"/>
    <mergeCell ref="A2:N2"/>
    <mergeCell ref="P4:V4"/>
    <mergeCell ref="A31:F31"/>
    <mergeCell ref="J31:N31"/>
    <mergeCell ref="A34:G3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topLeftCell="C6" workbookViewId="0">
      <selection activeCell="J21" sqref="J21"/>
    </sheetView>
  </sheetViews>
  <sheetFormatPr defaultColWidth="9" defaultRowHeight="14.25"/>
  <cols>
    <col min="1" max="1" width="8" customWidth="1"/>
    <col min="2" max="2" width="16" customWidth="1"/>
    <col min="3" max="3" width="9" customWidth="1"/>
    <col min="4" max="4" width="25" customWidth="1"/>
    <col min="5" max="5" width="16" customWidth="1"/>
    <col min="6" max="8" width="17" customWidth="1"/>
    <col min="9" max="9" width="12" customWidth="1"/>
    <col min="10" max="11" width="16" customWidth="1"/>
    <col min="12" max="12" width="58" customWidth="1"/>
    <col min="13" max="13" width="16" customWidth="1"/>
    <col min="14" max="14" width="38" customWidth="1"/>
    <col min="16" max="16" width="15" customWidth="1"/>
    <col min="17" max="17" width="20" customWidth="1"/>
    <col min="18" max="18" width="16" customWidth="1"/>
    <col min="19" max="19" width="18" customWidth="1"/>
    <col min="20" max="20" width="65" customWidth="1"/>
    <col min="21" max="21" width="40" customWidth="1"/>
    <col min="22" max="22" width="44" customWidth="1"/>
  </cols>
  <sheetData>
    <row r="1" ht="32" customHeight="1" spans="1:22">
      <c r="A1" s="39" t="s">
        <v>17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ht="42" customHeight="1" spans="1:22">
      <c r="A2" s="2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0" customHeight="1" spans="1:22">
      <c r="A4" s="3" t="s">
        <v>2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</v>
      </c>
      <c r="N4" s="3" t="s">
        <v>77</v>
      </c>
      <c r="P4" s="40" t="s">
        <v>78</v>
      </c>
      <c r="Q4" s="40"/>
      <c r="R4" s="40"/>
      <c r="S4" s="40"/>
      <c r="T4" s="40"/>
      <c r="U4" s="40"/>
      <c r="V4" s="40"/>
    </row>
    <row r="5" ht="30" customHeight="1" spans="1:22">
      <c r="A5" s="5">
        <v>1</v>
      </c>
      <c r="B5" s="5" t="s">
        <v>79</v>
      </c>
      <c r="C5" s="5" t="s">
        <v>80</v>
      </c>
      <c r="D5" s="5" t="s">
        <v>81</v>
      </c>
      <c r="E5" s="6">
        <v>172</v>
      </c>
      <c r="F5" s="6" t="s">
        <v>82</v>
      </c>
      <c r="G5" s="6">
        <v>0</v>
      </c>
      <c r="H5" s="6">
        <v>50</v>
      </c>
      <c r="I5" s="6">
        <v>0</v>
      </c>
      <c r="J5" s="6">
        <f>G5</f>
        <v>0</v>
      </c>
      <c r="K5" s="6">
        <f>H5</f>
        <v>50</v>
      </c>
      <c r="L5" s="7" t="s">
        <v>83</v>
      </c>
      <c r="M5" s="7" t="s">
        <v>23</v>
      </c>
      <c r="N5" s="7" t="s">
        <v>84</v>
      </c>
      <c r="P5" s="8" t="s">
        <v>66</v>
      </c>
      <c r="Q5" s="8" t="s">
        <v>85</v>
      </c>
      <c r="R5" s="8" t="s">
        <v>86</v>
      </c>
      <c r="S5" s="8" t="s">
        <v>87</v>
      </c>
      <c r="T5" s="8" t="s">
        <v>88</v>
      </c>
      <c r="U5" s="8" t="s">
        <v>89</v>
      </c>
      <c r="V5" s="8" t="s">
        <v>77</v>
      </c>
    </row>
    <row r="6" ht="28.5" spans="1:22">
      <c r="A6" s="5">
        <v>2</v>
      </c>
      <c r="B6" s="5" t="s">
        <v>79</v>
      </c>
      <c r="C6" s="5" t="s">
        <v>80</v>
      </c>
      <c r="D6" s="5" t="s">
        <v>59</v>
      </c>
      <c r="E6" s="6">
        <v>251</v>
      </c>
      <c r="F6" s="6">
        <f t="shared" ref="F6:F29" si="0">E6-E5</f>
        <v>79</v>
      </c>
      <c r="G6" s="6">
        <v>0</v>
      </c>
      <c r="H6" s="6">
        <v>100</v>
      </c>
      <c r="I6" s="6">
        <v>0</v>
      </c>
      <c r="J6" s="6">
        <f t="shared" ref="J6:J29" si="1">J5+G6</f>
        <v>0</v>
      </c>
      <c r="K6" s="6">
        <f t="shared" ref="K6:K29" si="2">K5+H6</f>
        <v>150</v>
      </c>
      <c r="L6" s="7" t="s">
        <v>83</v>
      </c>
      <c r="M6" s="7" t="s">
        <v>23</v>
      </c>
      <c r="N6" s="7" t="s">
        <v>90</v>
      </c>
      <c r="P6" s="9" t="s">
        <v>4</v>
      </c>
      <c r="Q6" s="9" t="s">
        <v>157</v>
      </c>
      <c r="R6" s="9" t="s">
        <v>98</v>
      </c>
      <c r="S6" s="9" t="s">
        <v>99</v>
      </c>
      <c r="T6" s="9" t="s">
        <v>158</v>
      </c>
      <c r="U6" s="9" t="s">
        <v>159</v>
      </c>
      <c r="V6" s="9" t="s">
        <v>160</v>
      </c>
    </row>
    <row r="7" spans="1:22">
      <c r="A7" s="5">
        <v>3</v>
      </c>
      <c r="B7" s="5" t="s">
        <v>79</v>
      </c>
      <c r="C7" s="5" t="s">
        <v>80</v>
      </c>
      <c r="D7" s="5" t="s">
        <v>97</v>
      </c>
      <c r="E7" s="6">
        <v>301</v>
      </c>
      <c r="F7" s="6">
        <f t="shared" si="0"/>
        <v>50</v>
      </c>
      <c r="G7" s="6">
        <v>0</v>
      </c>
      <c r="H7" s="6">
        <v>200</v>
      </c>
      <c r="I7" s="6">
        <v>0</v>
      </c>
      <c r="J7" s="6">
        <f t="shared" si="1"/>
        <v>0</v>
      </c>
      <c r="K7" s="6">
        <f t="shared" si="2"/>
        <v>350</v>
      </c>
      <c r="L7" s="7" t="s">
        <v>83</v>
      </c>
      <c r="M7" s="7" t="s">
        <v>23</v>
      </c>
      <c r="N7" s="7" t="s">
        <v>80</v>
      </c>
      <c r="P7" s="10" t="s">
        <v>5</v>
      </c>
      <c r="Q7" s="10" t="s">
        <v>19</v>
      </c>
      <c r="R7" s="10" t="s">
        <v>98</v>
      </c>
      <c r="S7" s="10" t="s">
        <v>99</v>
      </c>
      <c r="T7" s="10" t="s">
        <v>161</v>
      </c>
      <c r="U7" s="10" t="s">
        <v>162</v>
      </c>
      <c r="V7" s="10" t="s">
        <v>163</v>
      </c>
    </row>
    <row r="8" spans="1:22">
      <c r="A8" s="5">
        <v>4</v>
      </c>
      <c r="B8" s="5" t="s">
        <v>79</v>
      </c>
      <c r="C8" s="5" t="s">
        <v>80</v>
      </c>
      <c r="D8" s="5" t="s">
        <v>103</v>
      </c>
      <c r="E8" s="6">
        <v>401</v>
      </c>
      <c r="F8" s="6">
        <f t="shared" si="0"/>
        <v>100</v>
      </c>
      <c r="G8" s="6">
        <v>0</v>
      </c>
      <c r="H8" s="6">
        <v>250</v>
      </c>
      <c r="I8" s="6">
        <v>0</v>
      </c>
      <c r="J8" s="6">
        <f t="shared" si="1"/>
        <v>0</v>
      </c>
      <c r="K8" s="6">
        <f t="shared" si="2"/>
        <v>600</v>
      </c>
      <c r="L8" s="7" t="s">
        <v>83</v>
      </c>
      <c r="M8" s="7" t="s">
        <v>23</v>
      </c>
      <c r="N8" s="7" t="s">
        <v>80</v>
      </c>
      <c r="P8" s="9" t="s">
        <v>6</v>
      </c>
      <c r="Q8" s="9" t="s">
        <v>20</v>
      </c>
      <c r="R8" s="9" t="s">
        <v>98</v>
      </c>
      <c r="S8" s="9" t="s">
        <v>114</v>
      </c>
      <c r="T8" s="9" t="s">
        <v>164</v>
      </c>
      <c r="U8" s="9" t="s">
        <v>165</v>
      </c>
      <c r="V8" s="9" t="s">
        <v>102</v>
      </c>
    </row>
    <row r="9" spans="1:22">
      <c r="A9" s="5">
        <v>5</v>
      </c>
      <c r="B9" s="5" t="s">
        <v>79</v>
      </c>
      <c r="C9" s="5" t="s">
        <v>80</v>
      </c>
      <c r="D9" s="5" t="s">
        <v>107</v>
      </c>
      <c r="E9" s="6">
        <v>501</v>
      </c>
      <c r="F9" s="6">
        <f t="shared" si="0"/>
        <v>100</v>
      </c>
      <c r="G9" s="6">
        <v>0</v>
      </c>
      <c r="H9" s="6">
        <v>300</v>
      </c>
      <c r="I9" s="6">
        <v>0</v>
      </c>
      <c r="J9" s="6">
        <f t="shared" si="1"/>
        <v>0</v>
      </c>
      <c r="K9" s="6">
        <f t="shared" si="2"/>
        <v>900</v>
      </c>
      <c r="L9" s="7" t="s">
        <v>83</v>
      </c>
      <c r="M9" s="7" t="s">
        <v>23</v>
      </c>
      <c r="N9" s="7" t="s">
        <v>80</v>
      </c>
    </row>
    <row r="10" spans="1:22">
      <c r="A10" s="11">
        <v>6</v>
      </c>
      <c r="B10" s="11" t="s">
        <v>18</v>
      </c>
      <c r="C10" s="11" t="s">
        <v>110</v>
      </c>
      <c r="D10" s="11" t="s">
        <v>166</v>
      </c>
      <c r="E10" s="12">
        <v>901</v>
      </c>
      <c r="F10" s="12">
        <f t="shared" si="0"/>
        <v>400</v>
      </c>
      <c r="G10" s="12">
        <v>20</v>
      </c>
      <c r="H10" s="12">
        <v>1000</v>
      </c>
      <c r="I10" s="12">
        <v>1</v>
      </c>
      <c r="J10" s="12">
        <f t="shared" si="1"/>
        <v>20</v>
      </c>
      <c r="K10" s="12">
        <f t="shared" si="2"/>
        <v>1900</v>
      </c>
      <c r="L10" s="27" t="s">
        <v>167</v>
      </c>
      <c r="M10" s="13" t="s">
        <v>23</v>
      </c>
      <c r="N10" s="13" t="s">
        <v>113</v>
      </c>
    </row>
    <row r="11" spans="1:22">
      <c r="A11" s="11">
        <v>7</v>
      </c>
      <c r="B11" s="11" t="s">
        <v>18</v>
      </c>
      <c r="C11" s="11" t="s">
        <v>110</v>
      </c>
      <c r="D11" s="11" t="s">
        <v>168</v>
      </c>
      <c r="E11" s="12">
        <v>1501</v>
      </c>
      <c r="F11" s="12">
        <f t="shared" si="0"/>
        <v>600</v>
      </c>
      <c r="G11" s="12">
        <v>50</v>
      </c>
      <c r="H11" s="12">
        <v>1500</v>
      </c>
      <c r="I11" s="12">
        <v>0</v>
      </c>
      <c r="J11" s="12">
        <f t="shared" si="1"/>
        <v>70</v>
      </c>
      <c r="K11" s="12">
        <f t="shared" si="2"/>
        <v>3400</v>
      </c>
      <c r="L11" s="27" t="s">
        <v>169</v>
      </c>
      <c r="M11" s="13" t="s">
        <v>23</v>
      </c>
      <c r="N11" s="13" t="s">
        <v>80</v>
      </c>
    </row>
    <row r="12" spans="1:22">
      <c r="A12" s="11">
        <v>8</v>
      </c>
      <c r="B12" s="11" t="s">
        <v>18</v>
      </c>
      <c r="C12" s="11" t="s">
        <v>110</v>
      </c>
      <c r="D12" s="11" t="s">
        <v>170</v>
      </c>
      <c r="E12" s="12">
        <v>2101</v>
      </c>
      <c r="F12" s="12">
        <f t="shared" si="0"/>
        <v>600</v>
      </c>
      <c r="G12" s="12">
        <v>200</v>
      </c>
      <c r="H12" s="12">
        <v>2000</v>
      </c>
      <c r="I12" s="12">
        <v>0</v>
      </c>
      <c r="J12" s="12">
        <f t="shared" si="1"/>
        <v>270</v>
      </c>
      <c r="K12" s="12">
        <f t="shared" si="2"/>
        <v>5400</v>
      </c>
      <c r="L12" s="13" t="s">
        <v>171</v>
      </c>
      <c r="M12" s="13" t="s">
        <v>23</v>
      </c>
      <c r="N12" s="13" t="s">
        <v>80</v>
      </c>
    </row>
    <row r="13" spans="1:22">
      <c r="A13" s="11">
        <v>9</v>
      </c>
      <c r="B13" s="11" t="s">
        <v>18</v>
      </c>
      <c r="C13" s="11" t="s">
        <v>110</v>
      </c>
      <c r="D13" s="11" t="s">
        <v>172</v>
      </c>
      <c r="E13" s="12">
        <v>3901</v>
      </c>
      <c r="F13" s="12">
        <f t="shared" si="0"/>
        <v>1800</v>
      </c>
      <c r="G13" s="12">
        <v>500</v>
      </c>
      <c r="H13" s="12">
        <v>2500</v>
      </c>
      <c r="I13" s="12">
        <v>0</v>
      </c>
      <c r="J13" s="12">
        <f t="shared" si="1"/>
        <v>770</v>
      </c>
      <c r="K13" s="12">
        <f t="shared" si="2"/>
        <v>7900</v>
      </c>
      <c r="L13" s="13" t="s">
        <v>173</v>
      </c>
      <c r="M13" s="13" t="s">
        <v>23</v>
      </c>
      <c r="N13" s="13" t="s">
        <v>80</v>
      </c>
    </row>
    <row r="14" spans="1:22">
      <c r="A14" s="11">
        <v>10</v>
      </c>
      <c r="B14" s="11" t="s">
        <v>18</v>
      </c>
      <c r="C14" s="11" t="s">
        <v>110</v>
      </c>
      <c r="D14" s="11" t="s">
        <v>174</v>
      </c>
      <c r="E14" s="12">
        <v>6101</v>
      </c>
      <c r="F14" s="12">
        <f t="shared" si="0"/>
        <v>2200</v>
      </c>
      <c r="G14" s="12">
        <v>1000</v>
      </c>
      <c r="H14" s="12">
        <v>3000</v>
      </c>
      <c r="I14" s="12">
        <v>0</v>
      </c>
      <c r="J14" s="12">
        <f t="shared" si="1"/>
        <v>1770</v>
      </c>
      <c r="K14" s="12">
        <f t="shared" si="2"/>
        <v>10900</v>
      </c>
      <c r="L14" s="13" t="s">
        <v>175</v>
      </c>
      <c r="M14" s="13" t="s">
        <v>23</v>
      </c>
      <c r="N14" s="13" t="s">
        <v>80</v>
      </c>
    </row>
    <row r="15" ht="28.5" spans="1:22">
      <c r="A15" s="14">
        <v>11</v>
      </c>
      <c r="B15" s="14" t="s">
        <v>19</v>
      </c>
      <c r="C15" s="14" t="s">
        <v>125</v>
      </c>
      <c r="D15" s="14" t="s">
        <v>176</v>
      </c>
      <c r="E15" s="15">
        <v>12101</v>
      </c>
      <c r="F15" s="15">
        <f t="shared" si="0"/>
        <v>6000</v>
      </c>
      <c r="G15" s="15">
        <v>1000</v>
      </c>
      <c r="H15" s="15">
        <v>20000</v>
      </c>
      <c r="I15" s="15">
        <v>1</v>
      </c>
      <c r="J15" s="15">
        <f t="shared" si="1"/>
        <v>2770</v>
      </c>
      <c r="K15" s="15">
        <f t="shared" si="2"/>
        <v>30900</v>
      </c>
      <c r="L15" s="16" t="s">
        <v>177</v>
      </c>
      <c r="M15" s="16" t="s">
        <v>23</v>
      </c>
      <c r="N15" s="16" t="s">
        <v>128</v>
      </c>
    </row>
    <row r="16" ht="28.5" spans="1:22">
      <c r="A16" s="14">
        <v>12</v>
      </c>
      <c r="B16" s="14" t="s">
        <v>19</v>
      </c>
      <c r="C16" s="14" t="s">
        <v>125</v>
      </c>
      <c r="D16" s="14" t="s">
        <v>178</v>
      </c>
      <c r="E16" s="15">
        <v>35101</v>
      </c>
      <c r="F16" s="15">
        <f t="shared" si="0"/>
        <v>23000</v>
      </c>
      <c r="G16" s="15">
        <v>2000</v>
      </c>
      <c r="H16" s="15">
        <v>40000</v>
      </c>
      <c r="I16" s="15">
        <v>0</v>
      </c>
      <c r="J16" s="15">
        <f t="shared" si="1"/>
        <v>4770</v>
      </c>
      <c r="K16" s="15">
        <f t="shared" si="2"/>
        <v>70900</v>
      </c>
      <c r="L16" s="16" t="s">
        <v>179</v>
      </c>
      <c r="M16" s="16" t="s">
        <v>23</v>
      </c>
      <c r="N16" s="16" t="s">
        <v>80</v>
      </c>
    </row>
    <row r="17" ht="28.5" spans="1:14">
      <c r="A17" s="14">
        <v>13</v>
      </c>
      <c r="B17" s="14" t="s">
        <v>19</v>
      </c>
      <c r="C17" s="14" t="s">
        <v>125</v>
      </c>
      <c r="D17" s="14" t="s">
        <v>180</v>
      </c>
      <c r="E17" s="15">
        <v>50101</v>
      </c>
      <c r="F17" s="15">
        <f t="shared" si="0"/>
        <v>15000</v>
      </c>
      <c r="G17" s="15">
        <v>5000</v>
      </c>
      <c r="H17" s="15">
        <v>60000</v>
      </c>
      <c r="I17" s="15">
        <v>0</v>
      </c>
      <c r="J17" s="15">
        <f t="shared" si="1"/>
        <v>9770</v>
      </c>
      <c r="K17" s="15">
        <f t="shared" si="2"/>
        <v>130900</v>
      </c>
      <c r="L17" s="16" t="s">
        <v>181</v>
      </c>
      <c r="M17" s="16" t="s">
        <v>23</v>
      </c>
      <c r="N17" s="16" t="s">
        <v>80</v>
      </c>
    </row>
    <row r="18" ht="28.5" spans="1:14">
      <c r="A18" s="14">
        <v>14</v>
      </c>
      <c r="B18" s="14" t="s">
        <v>19</v>
      </c>
      <c r="C18" s="14" t="s">
        <v>125</v>
      </c>
      <c r="D18" s="14" t="s">
        <v>182</v>
      </c>
      <c r="E18" s="15">
        <v>75101</v>
      </c>
      <c r="F18" s="15">
        <f t="shared" si="0"/>
        <v>25000</v>
      </c>
      <c r="G18" s="15">
        <v>10000</v>
      </c>
      <c r="H18" s="15">
        <v>100000</v>
      </c>
      <c r="I18" s="15">
        <v>0</v>
      </c>
      <c r="J18" s="15">
        <f t="shared" si="1"/>
        <v>19770</v>
      </c>
      <c r="K18" s="15">
        <f t="shared" si="2"/>
        <v>230900</v>
      </c>
      <c r="L18" s="16" t="s">
        <v>183</v>
      </c>
      <c r="M18" s="16" t="s">
        <v>23</v>
      </c>
      <c r="N18" s="16" t="s">
        <v>80</v>
      </c>
    </row>
    <row r="19" ht="28.5" spans="1:14">
      <c r="A19" s="14">
        <v>15</v>
      </c>
      <c r="B19" s="14" t="s">
        <v>19</v>
      </c>
      <c r="C19" s="14" t="s">
        <v>125</v>
      </c>
      <c r="D19" s="14" t="s">
        <v>184</v>
      </c>
      <c r="E19" s="15">
        <v>108101</v>
      </c>
      <c r="F19" s="15">
        <f t="shared" si="0"/>
        <v>33000</v>
      </c>
      <c r="G19" s="15">
        <v>20000</v>
      </c>
      <c r="H19" s="15">
        <v>100000</v>
      </c>
      <c r="I19" s="15">
        <v>0</v>
      </c>
      <c r="J19" s="15">
        <f t="shared" si="1"/>
        <v>39770</v>
      </c>
      <c r="K19" s="15">
        <f t="shared" si="2"/>
        <v>330900</v>
      </c>
      <c r="L19" s="16" t="s">
        <v>185</v>
      </c>
      <c r="M19" s="16" t="s">
        <v>23</v>
      </c>
      <c r="N19" s="16" t="s">
        <v>80</v>
      </c>
    </row>
    <row r="20" ht="42.75" spans="1:14">
      <c r="A20" s="17">
        <v>16</v>
      </c>
      <c r="B20" s="17" t="s">
        <v>20</v>
      </c>
      <c r="C20" s="17" t="s">
        <v>137</v>
      </c>
      <c r="D20" s="17" t="s">
        <v>186</v>
      </c>
      <c r="E20" s="18">
        <v>308101</v>
      </c>
      <c r="F20" s="18">
        <f t="shared" si="0"/>
        <v>200000</v>
      </c>
      <c r="G20" s="18">
        <v>30000</v>
      </c>
      <c r="H20" s="18">
        <v>200000</v>
      </c>
      <c r="I20" s="18">
        <v>2</v>
      </c>
      <c r="J20" s="18">
        <f t="shared" si="1"/>
        <v>69770</v>
      </c>
      <c r="K20" s="18">
        <f t="shared" si="2"/>
        <v>530900</v>
      </c>
      <c r="L20" s="19" t="s">
        <v>187</v>
      </c>
      <c r="M20" s="19" t="s">
        <v>23</v>
      </c>
      <c r="N20" s="19" t="s">
        <v>140</v>
      </c>
    </row>
    <row r="21" ht="42.75" spans="1:14">
      <c r="A21" s="17">
        <v>17</v>
      </c>
      <c r="B21" s="17" t="s">
        <v>20</v>
      </c>
      <c r="C21" s="17" t="s">
        <v>137</v>
      </c>
      <c r="D21" s="17" t="s">
        <v>188</v>
      </c>
      <c r="E21" s="18">
        <v>508101</v>
      </c>
      <c r="F21" s="18">
        <f t="shared" si="0"/>
        <v>200000</v>
      </c>
      <c r="G21" s="18">
        <v>60000</v>
      </c>
      <c r="H21" s="18">
        <v>200000</v>
      </c>
      <c r="I21" s="18">
        <v>0</v>
      </c>
      <c r="J21" s="18">
        <f t="shared" si="1"/>
        <v>129770</v>
      </c>
      <c r="K21" s="18">
        <f t="shared" si="2"/>
        <v>730900</v>
      </c>
      <c r="L21" s="19" t="s">
        <v>187</v>
      </c>
      <c r="M21" s="19" t="s">
        <v>23</v>
      </c>
      <c r="N21" s="19" t="s">
        <v>80</v>
      </c>
    </row>
    <row r="22" ht="42.75" spans="1:14">
      <c r="A22" s="17">
        <v>18</v>
      </c>
      <c r="B22" s="17" t="s">
        <v>20</v>
      </c>
      <c r="C22" s="17" t="s">
        <v>137</v>
      </c>
      <c r="D22" s="17" t="s">
        <v>189</v>
      </c>
      <c r="E22" s="18">
        <v>808101</v>
      </c>
      <c r="F22" s="18">
        <f t="shared" si="0"/>
        <v>300000</v>
      </c>
      <c r="G22" s="18">
        <v>90000</v>
      </c>
      <c r="H22" s="18">
        <v>200000</v>
      </c>
      <c r="I22" s="18">
        <v>0</v>
      </c>
      <c r="J22" s="18">
        <f t="shared" si="1"/>
        <v>219770</v>
      </c>
      <c r="K22" s="18">
        <f t="shared" si="2"/>
        <v>930900</v>
      </c>
      <c r="L22" s="19" t="s">
        <v>187</v>
      </c>
      <c r="M22" s="19" t="s">
        <v>23</v>
      </c>
      <c r="N22" s="19" t="s">
        <v>80</v>
      </c>
    </row>
    <row r="23" ht="42.75" spans="1:14">
      <c r="A23" s="17">
        <v>19</v>
      </c>
      <c r="B23" s="17" t="s">
        <v>20</v>
      </c>
      <c r="C23" s="17" t="s">
        <v>137</v>
      </c>
      <c r="D23" s="17" t="s">
        <v>190</v>
      </c>
      <c r="E23" s="18">
        <v>1008101</v>
      </c>
      <c r="F23" s="18">
        <f t="shared" si="0"/>
        <v>200000</v>
      </c>
      <c r="G23" s="18">
        <v>120000</v>
      </c>
      <c r="H23" s="18">
        <v>200000</v>
      </c>
      <c r="I23" s="18">
        <v>0</v>
      </c>
      <c r="J23" s="18">
        <f t="shared" si="1"/>
        <v>339770</v>
      </c>
      <c r="K23" s="18">
        <f t="shared" si="2"/>
        <v>1130900</v>
      </c>
      <c r="L23" s="19" t="s">
        <v>187</v>
      </c>
      <c r="M23" s="19" t="s">
        <v>23</v>
      </c>
      <c r="N23" s="19" t="s">
        <v>80</v>
      </c>
    </row>
    <row r="24" ht="42.75" spans="1:14">
      <c r="A24" s="17">
        <v>20</v>
      </c>
      <c r="B24" s="17" t="s">
        <v>20</v>
      </c>
      <c r="C24" s="17" t="s">
        <v>137</v>
      </c>
      <c r="D24" s="17" t="s">
        <v>191</v>
      </c>
      <c r="E24" s="18">
        <v>1508101</v>
      </c>
      <c r="F24" s="18">
        <f t="shared" si="0"/>
        <v>500000</v>
      </c>
      <c r="G24" s="18">
        <v>150000</v>
      </c>
      <c r="H24" s="18">
        <v>200000</v>
      </c>
      <c r="I24" s="18">
        <v>0</v>
      </c>
      <c r="J24" s="18">
        <f t="shared" si="1"/>
        <v>489770</v>
      </c>
      <c r="K24" s="18">
        <f t="shared" si="2"/>
        <v>1330900</v>
      </c>
      <c r="L24" s="19" t="s">
        <v>187</v>
      </c>
      <c r="M24" s="19" t="s">
        <v>23</v>
      </c>
      <c r="N24" s="19" t="s">
        <v>80</v>
      </c>
    </row>
    <row r="25" ht="42.75" spans="1:14">
      <c r="A25" s="17">
        <v>21</v>
      </c>
      <c r="B25" s="17" t="s">
        <v>20</v>
      </c>
      <c r="C25" s="17" t="s">
        <v>146</v>
      </c>
      <c r="D25" s="17" t="s">
        <v>192</v>
      </c>
      <c r="E25" s="18">
        <v>2008101</v>
      </c>
      <c r="F25" s="18">
        <f t="shared" si="0"/>
        <v>500000</v>
      </c>
      <c r="G25" s="18">
        <v>200000</v>
      </c>
      <c r="H25" s="18">
        <v>400000</v>
      </c>
      <c r="I25" s="18">
        <v>0</v>
      </c>
      <c r="J25" s="18">
        <f t="shared" si="1"/>
        <v>689770</v>
      </c>
      <c r="K25" s="18">
        <f t="shared" si="2"/>
        <v>1730900</v>
      </c>
      <c r="L25" s="19" t="s">
        <v>187</v>
      </c>
      <c r="M25" s="19" t="s">
        <v>23</v>
      </c>
      <c r="N25" s="19" t="s">
        <v>148</v>
      </c>
    </row>
    <row r="26" ht="42.75" spans="1:14">
      <c r="A26" s="17">
        <v>22</v>
      </c>
      <c r="B26" s="17" t="s">
        <v>20</v>
      </c>
      <c r="C26" s="17" t="s">
        <v>146</v>
      </c>
      <c r="D26" s="17" t="s">
        <v>193</v>
      </c>
      <c r="E26" s="18">
        <v>3008101</v>
      </c>
      <c r="F26" s="18">
        <f t="shared" si="0"/>
        <v>1000000</v>
      </c>
      <c r="G26" s="18">
        <v>250000</v>
      </c>
      <c r="H26" s="18">
        <v>500000</v>
      </c>
      <c r="I26" s="18">
        <v>0</v>
      </c>
      <c r="J26" s="18">
        <f t="shared" si="1"/>
        <v>939770</v>
      </c>
      <c r="K26" s="18">
        <f t="shared" si="2"/>
        <v>2230900</v>
      </c>
      <c r="L26" s="19" t="s">
        <v>187</v>
      </c>
      <c r="M26" s="19" t="s">
        <v>23</v>
      </c>
      <c r="N26" s="19" t="s">
        <v>80</v>
      </c>
    </row>
    <row r="27" ht="42.75" spans="1:14">
      <c r="A27" s="17">
        <v>23</v>
      </c>
      <c r="B27" s="17" t="s">
        <v>20</v>
      </c>
      <c r="C27" s="17" t="s">
        <v>146</v>
      </c>
      <c r="D27" s="17" t="s">
        <v>194</v>
      </c>
      <c r="E27" s="18">
        <v>4008101</v>
      </c>
      <c r="F27" s="18">
        <f t="shared" si="0"/>
        <v>1000000</v>
      </c>
      <c r="G27" s="18">
        <v>300000</v>
      </c>
      <c r="H27" s="18">
        <v>600000</v>
      </c>
      <c r="I27" s="18">
        <v>0</v>
      </c>
      <c r="J27" s="18">
        <f t="shared" si="1"/>
        <v>1239770</v>
      </c>
      <c r="K27" s="18">
        <f t="shared" si="2"/>
        <v>2830900</v>
      </c>
      <c r="L27" s="19" t="s">
        <v>187</v>
      </c>
      <c r="M27" s="19" t="s">
        <v>23</v>
      </c>
      <c r="N27" s="19" t="s">
        <v>80</v>
      </c>
    </row>
    <row r="28" ht="42.75" spans="1:14">
      <c r="A28" s="17">
        <v>24</v>
      </c>
      <c r="B28" s="17" t="s">
        <v>20</v>
      </c>
      <c r="C28" s="17" t="s">
        <v>146</v>
      </c>
      <c r="D28" s="17" t="s">
        <v>195</v>
      </c>
      <c r="E28" s="18">
        <v>5008101</v>
      </c>
      <c r="F28" s="18">
        <f t="shared" si="0"/>
        <v>1000000</v>
      </c>
      <c r="G28" s="18">
        <v>350000</v>
      </c>
      <c r="H28" s="18">
        <v>700000</v>
      </c>
      <c r="I28" s="18">
        <v>0</v>
      </c>
      <c r="J28" s="18">
        <f t="shared" si="1"/>
        <v>1589770</v>
      </c>
      <c r="K28" s="18">
        <f t="shared" si="2"/>
        <v>3530900</v>
      </c>
      <c r="L28" s="19" t="s">
        <v>187</v>
      </c>
      <c r="M28" s="19" t="s">
        <v>23</v>
      </c>
      <c r="N28" s="19" t="s">
        <v>80</v>
      </c>
    </row>
    <row r="29" ht="42.75" spans="1:14">
      <c r="A29" s="17">
        <v>25</v>
      </c>
      <c r="B29" s="17" t="s">
        <v>20</v>
      </c>
      <c r="C29" s="17" t="s">
        <v>146</v>
      </c>
      <c r="D29" s="17" t="s">
        <v>196</v>
      </c>
      <c r="E29" s="18">
        <v>6008101</v>
      </c>
      <c r="F29" s="18">
        <f t="shared" si="0"/>
        <v>1000000</v>
      </c>
      <c r="G29" s="18">
        <v>400000</v>
      </c>
      <c r="H29" s="18">
        <v>800000</v>
      </c>
      <c r="I29" s="18">
        <v>0</v>
      </c>
      <c r="J29" s="18">
        <f t="shared" si="1"/>
        <v>1989770</v>
      </c>
      <c r="K29" s="18">
        <f t="shared" si="2"/>
        <v>4330900</v>
      </c>
      <c r="L29" s="19" t="s">
        <v>187</v>
      </c>
      <c r="M29" s="19" t="s">
        <v>23</v>
      </c>
      <c r="N29" s="19" t="s">
        <v>80</v>
      </c>
    </row>
    <row r="31" ht="32" customHeight="1" spans="1:14">
      <c r="A31" s="20" t="s">
        <v>154</v>
      </c>
      <c r="B31" s="20"/>
      <c r="C31" s="20"/>
      <c r="D31" s="20"/>
      <c r="E31" s="20"/>
      <c r="F31" s="20"/>
      <c r="G31" s="21">
        <f>SUM(G5:G29)</f>
        <v>1989770</v>
      </c>
      <c r="H31" s="21">
        <f>SUM(H5:H29)</f>
        <v>4330900</v>
      </c>
      <c r="I31" s="21">
        <f>SUM(I5:I29)</f>
        <v>4</v>
      </c>
      <c r="J31" s="20" t="s">
        <v>155</v>
      </c>
      <c r="K31" s="20"/>
      <c r="L31" s="20"/>
      <c r="M31" s="20"/>
      <c r="N31" s="20"/>
    </row>
    <row r="34" ht="28" customHeight="1" spans="1:7">
      <c r="A34" s="40"/>
      <c r="B34" s="40"/>
      <c r="C34" s="40"/>
      <c r="D34" s="40"/>
      <c r="E34" s="40"/>
      <c r="F34" s="40"/>
      <c r="G34" s="40"/>
    </row>
    <row r="35" ht="15" spans="1:7">
      <c r="A35" s="22"/>
      <c r="B35" s="22"/>
      <c r="C35" s="22"/>
      <c r="D35" s="22"/>
      <c r="E35" s="22"/>
      <c r="F35" s="22"/>
      <c r="G35" s="22"/>
    </row>
    <row r="36" spans="1:7">
      <c r="A36" s="23"/>
      <c r="B36" s="23"/>
      <c r="C36" s="23"/>
      <c r="D36" s="23"/>
      <c r="E36" s="23"/>
      <c r="F36" s="23"/>
      <c r="G36" s="23"/>
    </row>
    <row r="37" spans="1:7">
      <c r="A37" s="24"/>
      <c r="B37" s="24"/>
      <c r="C37" s="24"/>
      <c r="D37" s="24"/>
      <c r="E37" s="24"/>
      <c r="F37" s="24"/>
      <c r="G37" s="24"/>
    </row>
    <row r="38" spans="1:7">
      <c r="A38" s="23"/>
      <c r="B38" s="23"/>
      <c r="C38" s="23"/>
      <c r="D38" s="23"/>
      <c r="E38" s="23"/>
      <c r="F38" s="23"/>
      <c r="G38" s="23"/>
    </row>
  </sheetData>
  <mergeCells count="6">
    <mergeCell ref="A1:N1"/>
    <mergeCell ref="A2:N2"/>
    <mergeCell ref="P4:V4"/>
    <mergeCell ref="A31:F31"/>
    <mergeCell ref="J31:N31"/>
    <mergeCell ref="A34:G3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topLeftCell="A8" workbookViewId="0">
      <selection activeCell="F20" sqref="F20"/>
    </sheetView>
  </sheetViews>
  <sheetFormatPr defaultColWidth="9" defaultRowHeight="14.25"/>
  <cols>
    <col min="1" max="1" width="8" customWidth="1"/>
    <col min="2" max="2" width="16" customWidth="1"/>
    <col min="3" max="3" width="9" customWidth="1"/>
    <col min="4" max="4" width="25" customWidth="1"/>
    <col min="5" max="5" width="16" customWidth="1"/>
    <col min="6" max="8" width="17" customWidth="1"/>
    <col min="9" max="9" width="12" customWidth="1"/>
    <col min="10" max="11" width="16" customWidth="1"/>
    <col min="12" max="12" width="58" customWidth="1"/>
    <col min="13" max="13" width="16" customWidth="1"/>
    <col min="14" max="14" width="38" customWidth="1"/>
    <col min="16" max="16" width="15" customWidth="1"/>
    <col min="17" max="17" width="20" customWidth="1"/>
    <col min="18" max="18" width="16" customWidth="1"/>
    <col min="19" max="19" width="18" customWidth="1"/>
    <col min="20" max="20" width="65" customWidth="1"/>
    <col min="21" max="21" width="40" customWidth="1"/>
    <col min="22" max="22" width="44" customWidth="1"/>
  </cols>
  <sheetData>
    <row r="1" ht="32" customHeight="1" spans="1:22">
      <c r="A1" s="36" t="s">
        <v>24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ht="42" customHeight="1" spans="1:22">
      <c r="A2" s="2" t="s">
        <v>197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0" customHeight="1" spans="1:22">
      <c r="A4" s="3" t="s">
        <v>2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</v>
      </c>
      <c r="N4" s="3" t="s">
        <v>77</v>
      </c>
      <c r="P4" s="37" t="s">
        <v>78</v>
      </c>
      <c r="Q4" s="37"/>
      <c r="R4" s="37"/>
      <c r="S4" s="37"/>
      <c r="T4" s="37"/>
      <c r="U4" s="37"/>
      <c r="V4" s="37"/>
    </row>
    <row r="5" ht="30" customHeight="1" spans="1:22">
      <c r="A5" s="5">
        <v>1</v>
      </c>
      <c r="B5" s="5" t="s">
        <v>79</v>
      </c>
      <c r="C5" s="5" t="s">
        <v>80</v>
      </c>
      <c r="D5" s="5" t="s">
        <v>81</v>
      </c>
      <c r="E5" s="6">
        <v>172</v>
      </c>
      <c r="F5" s="6" t="s">
        <v>82</v>
      </c>
      <c r="G5" s="6">
        <v>0</v>
      </c>
      <c r="H5" s="6">
        <v>50</v>
      </c>
      <c r="I5" s="6">
        <v>0</v>
      </c>
      <c r="J5" s="6">
        <f>G5</f>
        <v>0</v>
      </c>
      <c r="K5" s="6">
        <f>H5</f>
        <v>50</v>
      </c>
      <c r="L5" s="7" t="s">
        <v>83</v>
      </c>
      <c r="M5" s="7" t="s">
        <v>29</v>
      </c>
      <c r="N5" s="7" t="s">
        <v>84</v>
      </c>
      <c r="P5" s="8" t="s">
        <v>66</v>
      </c>
      <c r="Q5" s="8" t="s">
        <v>85</v>
      </c>
      <c r="R5" s="8" t="s">
        <v>86</v>
      </c>
      <c r="S5" s="8" t="s">
        <v>87</v>
      </c>
      <c r="T5" s="8" t="s">
        <v>88</v>
      </c>
      <c r="U5" s="8" t="s">
        <v>89</v>
      </c>
      <c r="V5" s="8" t="s">
        <v>77</v>
      </c>
    </row>
    <row r="6" ht="28.5" spans="1:22">
      <c r="A6" s="5">
        <v>2</v>
      </c>
      <c r="B6" s="5" t="s">
        <v>79</v>
      </c>
      <c r="C6" s="5" t="s">
        <v>80</v>
      </c>
      <c r="D6" s="5" t="s">
        <v>59</v>
      </c>
      <c r="E6" s="6">
        <v>251</v>
      </c>
      <c r="F6" s="6">
        <f t="shared" ref="F6:F29" si="0">E6-E5</f>
        <v>79</v>
      </c>
      <c r="G6" s="6">
        <v>0</v>
      </c>
      <c r="H6" s="6">
        <v>100</v>
      </c>
      <c r="I6" s="6">
        <v>0</v>
      </c>
      <c r="J6" s="6">
        <f t="shared" ref="J6:J29" si="1">J5+G6</f>
        <v>0</v>
      </c>
      <c r="K6" s="6">
        <f t="shared" ref="K6:K29" si="2">K5+H6</f>
        <v>150</v>
      </c>
      <c r="L6" s="7" t="s">
        <v>83</v>
      </c>
      <c r="M6" s="7" t="s">
        <v>29</v>
      </c>
      <c r="N6" s="7" t="s">
        <v>90</v>
      </c>
      <c r="P6" s="9" t="s">
        <v>4</v>
      </c>
      <c r="Q6" s="9" t="s">
        <v>198</v>
      </c>
      <c r="R6" s="9" t="s">
        <v>98</v>
      </c>
      <c r="S6" s="9" t="s">
        <v>99</v>
      </c>
      <c r="T6" s="9" t="s">
        <v>199</v>
      </c>
      <c r="U6" s="9" t="s">
        <v>200</v>
      </c>
      <c r="V6" s="9" t="s">
        <v>201</v>
      </c>
    </row>
    <row r="7" ht="27.75" spans="1:22">
      <c r="A7" s="5">
        <v>3</v>
      </c>
      <c r="B7" s="5" t="s">
        <v>79</v>
      </c>
      <c r="C7" s="5" t="s">
        <v>80</v>
      </c>
      <c r="D7" s="5" t="s">
        <v>97</v>
      </c>
      <c r="E7" s="6">
        <v>301</v>
      </c>
      <c r="F7" s="6">
        <f t="shared" si="0"/>
        <v>50</v>
      </c>
      <c r="G7" s="6">
        <v>0</v>
      </c>
      <c r="H7" s="6">
        <v>200</v>
      </c>
      <c r="I7" s="6">
        <v>0</v>
      </c>
      <c r="J7" s="6">
        <f t="shared" si="1"/>
        <v>0</v>
      </c>
      <c r="K7" s="6">
        <f t="shared" si="2"/>
        <v>350</v>
      </c>
      <c r="L7" s="7" t="s">
        <v>83</v>
      </c>
      <c r="M7" s="7" t="s">
        <v>29</v>
      </c>
      <c r="N7" s="7" t="s">
        <v>80</v>
      </c>
      <c r="P7" s="10" t="s">
        <v>5</v>
      </c>
      <c r="Q7" s="10" t="s">
        <v>26</v>
      </c>
      <c r="R7" s="10" t="s">
        <v>98</v>
      </c>
      <c r="S7" s="10" t="s">
        <v>99</v>
      </c>
      <c r="T7" s="10" t="s">
        <v>202</v>
      </c>
      <c r="U7" s="10" t="s">
        <v>203</v>
      </c>
      <c r="V7" s="10" t="s">
        <v>204</v>
      </c>
    </row>
    <row r="8" spans="1:22">
      <c r="A8" s="5">
        <v>4</v>
      </c>
      <c r="B8" s="5" t="s">
        <v>79</v>
      </c>
      <c r="C8" s="5" t="s">
        <v>80</v>
      </c>
      <c r="D8" s="5" t="s">
        <v>103</v>
      </c>
      <c r="E8" s="6">
        <v>401</v>
      </c>
      <c r="F8" s="6">
        <f t="shared" si="0"/>
        <v>100</v>
      </c>
      <c r="G8" s="6">
        <v>0</v>
      </c>
      <c r="H8" s="6">
        <v>250</v>
      </c>
      <c r="I8" s="6">
        <v>0</v>
      </c>
      <c r="J8" s="6">
        <f t="shared" si="1"/>
        <v>0</v>
      </c>
      <c r="K8" s="6">
        <f t="shared" si="2"/>
        <v>600</v>
      </c>
      <c r="L8" s="7" t="s">
        <v>83</v>
      </c>
      <c r="M8" s="7" t="s">
        <v>29</v>
      </c>
      <c r="N8" s="7" t="s">
        <v>80</v>
      </c>
      <c r="P8" s="9" t="s">
        <v>6</v>
      </c>
      <c r="Q8" s="9" t="s">
        <v>27</v>
      </c>
      <c r="R8" s="9" t="s">
        <v>98</v>
      </c>
      <c r="S8" s="9" t="s">
        <v>114</v>
      </c>
      <c r="T8" s="9" t="s">
        <v>205</v>
      </c>
      <c r="U8" s="9" t="s">
        <v>206</v>
      </c>
      <c r="V8" s="9" t="s">
        <v>102</v>
      </c>
    </row>
    <row r="9" spans="1:22">
      <c r="A9" s="5">
        <v>5</v>
      </c>
      <c r="B9" s="5" t="s">
        <v>79</v>
      </c>
      <c r="C9" s="5" t="s">
        <v>80</v>
      </c>
      <c r="D9" s="5" t="s">
        <v>107</v>
      </c>
      <c r="E9" s="6">
        <v>501</v>
      </c>
      <c r="F9" s="6">
        <f t="shared" si="0"/>
        <v>100</v>
      </c>
      <c r="G9" s="6">
        <v>0</v>
      </c>
      <c r="H9" s="6">
        <v>300</v>
      </c>
      <c r="I9" s="6">
        <v>0</v>
      </c>
      <c r="J9" s="6">
        <f t="shared" si="1"/>
        <v>0</v>
      </c>
      <c r="K9" s="6">
        <f t="shared" si="2"/>
        <v>900</v>
      </c>
      <c r="L9" s="7" t="s">
        <v>83</v>
      </c>
      <c r="M9" s="7" t="s">
        <v>29</v>
      </c>
      <c r="N9" s="7" t="s">
        <v>80</v>
      </c>
    </row>
    <row r="10" spans="1:22">
      <c r="A10" s="11">
        <v>6</v>
      </c>
      <c r="B10" s="38" t="s">
        <v>25</v>
      </c>
      <c r="C10" s="11" t="s">
        <v>110</v>
      </c>
      <c r="D10" s="11" t="s">
        <v>207</v>
      </c>
      <c r="E10" s="12">
        <v>901</v>
      </c>
      <c r="F10" s="12">
        <f t="shared" si="0"/>
        <v>400</v>
      </c>
      <c r="G10" s="12">
        <v>20</v>
      </c>
      <c r="H10" s="12">
        <v>1000</v>
      </c>
      <c r="I10" s="12">
        <v>1</v>
      </c>
      <c r="J10" s="12">
        <f t="shared" si="1"/>
        <v>20</v>
      </c>
      <c r="K10" s="12">
        <f t="shared" si="2"/>
        <v>1900</v>
      </c>
      <c r="L10" s="27" t="s">
        <v>208</v>
      </c>
      <c r="M10" s="13" t="s">
        <v>29</v>
      </c>
      <c r="N10" s="13" t="s">
        <v>113</v>
      </c>
    </row>
    <row r="11" spans="1:22">
      <c r="A11" s="11">
        <v>7</v>
      </c>
      <c r="B11" s="11" t="s">
        <v>25</v>
      </c>
      <c r="C11" s="11" t="s">
        <v>110</v>
      </c>
      <c r="D11" s="11" t="s">
        <v>209</v>
      </c>
      <c r="E11" s="12">
        <v>1501</v>
      </c>
      <c r="F11" s="12">
        <f t="shared" si="0"/>
        <v>600</v>
      </c>
      <c r="G11" s="12">
        <v>50</v>
      </c>
      <c r="H11" s="12">
        <v>1500</v>
      </c>
      <c r="I11" s="12">
        <v>0</v>
      </c>
      <c r="J11" s="12">
        <f t="shared" si="1"/>
        <v>70</v>
      </c>
      <c r="K11" s="12">
        <f t="shared" si="2"/>
        <v>3400</v>
      </c>
      <c r="L11" s="13" t="s">
        <v>210</v>
      </c>
      <c r="M11" s="13" t="s">
        <v>29</v>
      </c>
      <c r="N11" s="13" t="s">
        <v>80</v>
      </c>
    </row>
    <row r="12" spans="1:22">
      <c r="A12" s="11">
        <v>8</v>
      </c>
      <c r="B12" s="11" t="s">
        <v>25</v>
      </c>
      <c r="C12" s="11" t="s">
        <v>110</v>
      </c>
      <c r="D12" s="11" t="s">
        <v>211</v>
      </c>
      <c r="E12" s="12">
        <v>2101</v>
      </c>
      <c r="F12" s="12">
        <f t="shared" si="0"/>
        <v>600</v>
      </c>
      <c r="G12" s="12">
        <v>200</v>
      </c>
      <c r="H12" s="12">
        <v>2000</v>
      </c>
      <c r="I12" s="12">
        <v>0</v>
      </c>
      <c r="J12" s="12">
        <f t="shared" si="1"/>
        <v>270</v>
      </c>
      <c r="K12" s="12">
        <f t="shared" si="2"/>
        <v>5400</v>
      </c>
      <c r="L12" s="13" t="s">
        <v>212</v>
      </c>
      <c r="M12" s="13" t="s">
        <v>29</v>
      </c>
      <c r="N12" s="13" t="s">
        <v>80</v>
      </c>
    </row>
    <row r="13" spans="1:22">
      <c r="A13" s="11">
        <v>9</v>
      </c>
      <c r="B13" s="11" t="s">
        <v>25</v>
      </c>
      <c r="C13" s="11" t="s">
        <v>110</v>
      </c>
      <c r="D13" s="11" t="s">
        <v>213</v>
      </c>
      <c r="E13" s="12">
        <v>3901</v>
      </c>
      <c r="F13" s="12">
        <f t="shared" si="0"/>
        <v>1800</v>
      </c>
      <c r="G13" s="12">
        <v>500</v>
      </c>
      <c r="H13" s="12">
        <v>2500</v>
      </c>
      <c r="I13" s="12">
        <v>0</v>
      </c>
      <c r="J13" s="12">
        <f t="shared" si="1"/>
        <v>770</v>
      </c>
      <c r="K13" s="12">
        <f t="shared" si="2"/>
        <v>7900</v>
      </c>
      <c r="L13" s="13" t="s">
        <v>214</v>
      </c>
      <c r="M13" s="13" t="s">
        <v>29</v>
      </c>
      <c r="N13" s="13" t="s">
        <v>80</v>
      </c>
    </row>
    <row r="14" spans="1:22">
      <c r="A14" s="11">
        <v>10</v>
      </c>
      <c r="B14" s="11" t="s">
        <v>25</v>
      </c>
      <c r="C14" s="11" t="s">
        <v>110</v>
      </c>
      <c r="D14" s="11" t="s">
        <v>215</v>
      </c>
      <c r="E14" s="12">
        <v>6101</v>
      </c>
      <c r="F14" s="12">
        <f t="shared" si="0"/>
        <v>2200</v>
      </c>
      <c r="G14" s="12">
        <v>1000</v>
      </c>
      <c r="H14" s="12">
        <v>3000</v>
      </c>
      <c r="I14" s="12">
        <v>0</v>
      </c>
      <c r="J14" s="12">
        <f t="shared" si="1"/>
        <v>1770</v>
      </c>
      <c r="K14" s="12">
        <f t="shared" si="2"/>
        <v>10900</v>
      </c>
      <c r="L14" s="27" t="s">
        <v>216</v>
      </c>
      <c r="M14" s="13" t="s">
        <v>29</v>
      </c>
      <c r="N14" s="13" t="s">
        <v>80</v>
      </c>
    </row>
    <row r="15" ht="28.5" spans="1:22">
      <c r="A15" s="14">
        <v>11</v>
      </c>
      <c r="B15" s="28" t="s">
        <v>26</v>
      </c>
      <c r="C15" s="14" t="s">
        <v>125</v>
      </c>
      <c r="D15" s="14" t="s">
        <v>217</v>
      </c>
      <c r="E15" s="15">
        <v>12101</v>
      </c>
      <c r="F15" s="15">
        <f t="shared" si="0"/>
        <v>6000</v>
      </c>
      <c r="G15" s="15">
        <v>1000</v>
      </c>
      <c r="H15" s="15">
        <v>20000</v>
      </c>
      <c r="I15" s="15">
        <v>1</v>
      </c>
      <c r="J15" s="15">
        <f t="shared" si="1"/>
        <v>2770</v>
      </c>
      <c r="K15" s="15">
        <f t="shared" si="2"/>
        <v>30900</v>
      </c>
      <c r="L15" s="16" t="s">
        <v>218</v>
      </c>
      <c r="M15" s="16" t="s">
        <v>29</v>
      </c>
      <c r="N15" s="16" t="s">
        <v>128</v>
      </c>
    </row>
    <row r="16" ht="28.5" spans="1:22">
      <c r="A16" s="14">
        <v>12</v>
      </c>
      <c r="B16" s="14" t="s">
        <v>26</v>
      </c>
      <c r="C16" s="14" t="s">
        <v>125</v>
      </c>
      <c r="D16" s="14" t="s">
        <v>219</v>
      </c>
      <c r="E16" s="15">
        <v>35101</v>
      </c>
      <c r="F16" s="15">
        <f t="shared" si="0"/>
        <v>23000</v>
      </c>
      <c r="G16" s="15">
        <v>2000</v>
      </c>
      <c r="H16" s="15">
        <v>40000</v>
      </c>
      <c r="I16" s="15">
        <v>0</v>
      </c>
      <c r="J16" s="15">
        <f t="shared" si="1"/>
        <v>4770</v>
      </c>
      <c r="K16" s="15">
        <f t="shared" si="2"/>
        <v>70900</v>
      </c>
      <c r="L16" s="16" t="s">
        <v>220</v>
      </c>
      <c r="M16" s="16" t="s">
        <v>29</v>
      </c>
      <c r="N16" s="16" t="s">
        <v>80</v>
      </c>
    </row>
    <row r="17" ht="28.5" spans="1:14">
      <c r="A17" s="14">
        <v>13</v>
      </c>
      <c r="B17" s="14" t="s">
        <v>26</v>
      </c>
      <c r="C17" s="14" t="s">
        <v>125</v>
      </c>
      <c r="D17" s="14" t="s">
        <v>221</v>
      </c>
      <c r="E17" s="15">
        <v>50101</v>
      </c>
      <c r="F17" s="15">
        <f t="shared" si="0"/>
        <v>15000</v>
      </c>
      <c r="G17" s="15">
        <v>5000</v>
      </c>
      <c r="H17" s="15">
        <v>60000</v>
      </c>
      <c r="I17" s="15">
        <v>0</v>
      </c>
      <c r="J17" s="15">
        <f t="shared" si="1"/>
        <v>9770</v>
      </c>
      <c r="K17" s="15">
        <f t="shared" si="2"/>
        <v>130900</v>
      </c>
      <c r="L17" s="29" t="s">
        <v>222</v>
      </c>
      <c r="M17" s="16" t="s">
        <v>29</v>
      </c>
      <c r="N17" s="16" t="s">
        <v>80</v>
      </c>
    </row>
    <row r="18" ht="28.5" spans="1:14">
      <c r="A18" s="14">
        <v>14</v>
      </c>
      <c r="B18" s="14" t="s">
        <v>26</v>
      </c>
      <c r="C18" s="14" t="s">
        <v>125</v>
      </c>
      <c r="D18" s="14" t="s">
        <v>223</v>
      </c>
      <c r="E18" s="15">
        <v>75101</v>
      </c>
      <c r="F18" s="15">
        <f t="shared" si="0"/>
        <v>25000</v>
      </c>
      <c r="G18" s="15">
        <v>10000</v>
      </c>
      <c r="H18" s="15">
        <v>100000</v>
      </c>
      <c r="I18" s="15">
        <v>0</v>
      </c>
      <c r="J18" s="15">
        <f t="shared" si="1"/>
        <v>19770</v>
      </c>
      <c r="K18" s="15">
        <f t="shared" si="2"/>
        <v>230900</v>
      </c>
      <c r="L18" s="16" t="s">
        <v>224</v>
      </c>
      <c r="M18" s="16" t="s">
        <v>29</v>
      </c>
      <c r="N18" s="16" t="s">
        <v>80</v>
      </c>
    </row>
    <row r="19" ht="28.5" spans="1:14">
      <c r="A19" s="14">
        <v>15</v>
      </c>
      <c r="B19" s="14" t="s">
        <v>26</v>
      </c>
      <c r="C19" s="14" t="s">
        <v>125</v>
      </c>
      <c r="D19" s="14" t="s">
        <v>225</v>
      </c>
      <c r="E19" s="15">
        <v>108101</v>
      </c>
      <c r="F19" s="15">
        <f t="shared" si="0"/>
        <v>33000</v>
      </c>
      <c r="G19" s="15">
        <v>20000</v>
      </c>
      <c r="H19" s="15">
        <v>100000</v>
      </c>
      <c r="I19" s="15">
        <v>0</v>
      </c>
      <c r="J19" s="15">
        <f t="shared" si="1"/>
        <v>39770</v>
      </c>
      <c r="K19" s="15">
        <f t="shared" si="2"/>
        <v>330900</v>
      </c>
      <c r="L19" s="29" t="s">
        <v>226</v>
      </c>
      <c r="M19" s="16" t="s">
        <v>29</v>
      </c>
      <c r="N19" s="16" t="s">
        <v>80</v>
      </c>
    </row>
    <row r="20" ht="42.75" spans="1:14">
      <c r="A20" s="17">
        <v>16</v>
      </c>
      <c r="B20" s="17" t="s">
        <v>27</v>
      </c>
      <c r="C20" s="17" t="s">
        <v>137</v>
      </c>
      <c r="D20" s="17" t="s">
        <v>227</v>
      </c>
      <c r="E20" s="18">
        <v>308101</v>
      </c>
      <c r="F20" s="18">
        <f t="shared" si="0"/>
        <v>200000</v>
      </c>
      <c r="G20" s="18">
        <v>30000</v>
      </c>
      <c r="H20" s="18">
        <v>200000</v>
      </c>
      <c r="I20" s="18">
        <v>2</v>
      </c>
      <c r="J20" s="18">
        <f t="shared" si="1"/>
        <v>69770</v>
      </c>
      <c r="K20" s="18">
        <f t="shared" si="2"/>
        <v>530900</v>
      </c>
      <c r="L20" s="19" t="s">
        <v>228</v>
      </c>
      <c r="M20" s="19" t="s">
        <v>29</v>
      </c>
      <c r="N20" s="19" t="s">
        <v>140</v>
      </c>
    </row>
    <row r="21" ht="42.75" spans="1:14">
      <c r="A21" s="17">
        <v>17</v>
      </c>
      <c r="B21" s="17" t="s">
        <v>27</v>
      </c>
      <c r="C21" s="17" t="s">
        <v>137</v>
      </c>
      <c r="D21" s="17" t="s">
        <v>229</v>
      </c>
      <c r="E21" s="18">
        <v>508101</v>
      </c>
      <c r="F21" s="18">
        <f t="shared" si="0"/>
        <v>200000</v>
      </c>
      <c r="G21" s="18">
        <v>60000</v>
      </c>
      <c r="H21" s="18">
        <v>200000</v>
      </c>
      <c r="I21" s="18">
        <v>0</v>
      </c>
      <c r="J21" s="18">
        <f t="shared" si="1"/>
        <v>129770</v>
      </c>
      <c r="K21" s="18">
        <f t="shared" si="2"/>
        <v>730900</v>
      </c>
      <c r="L21" s="19" t="s">
        <v>228</v>
      </c>
      <c r="M21" s="19" t="s">
        <v>29</v>
      </c>
      <c r="N21" s="19" t="s">
        <v>80</v>
      </c>
    </row>
    <row r="22" ht="42.75" spans="1:14">
      <c r="A22" s="17">
        <v>18</v>
      </c>
      <c r="B22" s="17" t="s">
        <v>27</v>
      </c>
      <c r="C22" s="17" t="s">
        <v>137</v>
      </c>
      <c r="D22" s="17" t="s">
        <v>230</v>
      </c>
      <c r="E22" s="18">
        <v>808101</v>
      </c>
      <c r="F22" s="18">
        <f t="shared" si="0"/>
        <v>300000</v>
      </c>
      <c r="G22" s="18">
        <v>90000</v>
      </c>
      <c r="H22" s="18">
        <v>200000</v>
      </c>
      <c r="I22" s="18">
        <v>0</v>
      </c>
      <c r="J22" s="18">
        <f t="shared" si="1"/>
        <v>219770</v>
      </c>
      <c r="K22" s="18">
        <f t="shared" si="2"/>
        <v>930900</v>
      </c>
      <c r="L22" s="19" t="s">
        <v>228</v>
      </c>
      <c r="M22" s="19" t="s">
        <v>29</v>
      </c>
      <c r="N22" s="19" t="s">
        <v>80</v>
      </c>
    </row>
    <row r="23" ht="42.75" spans="1:14">
      <c r="A23" s="17">
        <v>19</v>
      </c>
      <c r="B23" s="17" t="s">
        <v>27</v>
      </c>
      <c r="C23" s="17" t="s">
        <v>137</v>
      </c>
      <c r="D23" s="17" t="s">
        <v>231</v>
      </c>
      <c r="E23" s="18">
        <v>1008101</v>
      </c>
      <c r="F23" s="18">
        <f t="shared" si="0"/>
        <v>200000</v>
      </c>
      <c r="G23" s="18">
        <v>120000</v>
      </c>
      <c r="H23" s="18">
        <v>200000</v>
      </c>
      <c r="I23" s="18">
        <v>0</v>
      </c>
      <c r="J23" s="18">
        <f t="shared" si="1"/>
        <v>339770</v>
      </c>
      <c r="K23" s="18">
        <f t="shared" si="2"/>
        <v>1130900</v>
      </c>
      <c r="L23" s="19" t="s">
        <v>228</v>
      </c>
      <c r="M23" s="19" t="s">
        <v>29</v>
      </c>
      <c r="N23" s="19" t="s">
        <v>80</v>
      </c>
    </row>
    <row r="24" ht="42.75" spans="1:14">
      <c r="A24" s="17">
        <v>20</v>
      </c>
      <c r="B24" s="30" t="s">
        <v>27</v>
      </c>
      <c r="C24" s="17" t="s">
        <v>137</v>
      </c>
      <c r="D24" s="17" t="s">
        <v>232</v>
      </c>
      <c r="E24" s="18">
        <v>1508101</v>
      </c>
      <c r="F24" s="18">
        <f t="shared" si="0"/>
        <v>500000</v>
      </c>
      <c r="G24" s="18">
        <v>150000</v>
      </c>
      <c r="H24" s="18">
        <v>200000</v>
      </c>
      <c r="I24" s="18">
        <v>0</v>
      </c>
      <c r="J24" s="18">
        <f t="shared" si="1"/>
        <v>489770</v>
      </c>
      <c r="K24" s="18">
        <f t="shared" si="2"/>
        <v>1330900</v>
      </c>
      <c r="L24" s="19" t="s">
        <v>228</v>
      </c>
      <c r="M24" s="19" t="s">
        <v>29</v>
      </c>
      <c r="N24" s="19" t="s">
        <v>80</v>
      </c>
    </row>
    <row r="25" ht="42.75" spans="1:14">
      <c r="A25" s="17">
        <v>21</v>
      </c>
      <c r="B25" s="17" t="s">
        <v>27</v>
      </c>
      <c r="C25" s="17" t="s">
        <v>146</v>
      </c>
      <c r="D25" s="17" t="s">
        <v>233</v>
      </c>
      <c r="E25" s="18">
        <v>2008101</v>
      </c>
      <c r="F25" s="18">
        <f t="shared" si="0"/>
        <v>500000</v>
      </c>
      <c r="G25" s="18">
        <v>200000</v>
      </c>
      <c r="H25" s="18">
        <v>400000</v>
      </c>
      <c r="I25" s="18">
        <v>0</v>
      </c>
      <c r="J25" s="18">
        <f t="shared" si="1"/>
        <v>689770</v>
      </c>
      <c r="K25" s="18">
        <f t="shared" si="2"/>
        <v>1730900</v>
      </c>
      <c r="L25" s="19" t="s">
        <v>228</v>
      </c>
      <c r="M25" s="19" t="s">
        <v>29</v>
      </c>
      <c r="N25" s="19" t="s">
        <v>148</v>
      </c>
    </row>
    <row r="26" ht="42.75" spans="1:14">
      <c r="A26" s="17">
        <v>22</v>
      </c>
      <c r="B26" s="17" t="s">
        <v>27</v>
      </c>
      <c r="C26" s="17" t="s">
        <v>146</v>
      </c>
      <c r="D26" s="17" t="s">
        <v>234</v>
      </c>
      <c r="E26" s="18">
        <v>3008101</v>
      </c>
      <c r="F26" s="18">
        <f t="shared" si="0"/>
        <v>1000000</v>
      </c>
      <c r="G26" s="18">
        <v>250000</v>
      </c>
      <c r="H26" s="18">
        <v>500000</v>
      </c>
      <c r="I26" s="18">
        <v>0</v>
      </c>
      <c r="J26" s="18">
        <f t="shared" si="1"/>
        <v>939770</v>
      </c>
      <c r="K26" s="18">
        <f t="shared" si="2"/>
        <v>2230900</v>
      </c>
      <c r="L26" s="31" t="s">
        <v>235</v>
      </c>
      <c r="M26" s="19" t="s">
        <v>29</v>
      </c>
      <c r="N26" s="19" t="s">
        <v>80</v>
      </c>
    </row>
    <row r="27" ht="42.75" spans="1:14">
      <c r="A27" s="17">
        <v>23</v>
      </c>
      <c r="B27" s="17" t="s">
        <v>27</v>
      </c>
      <c r="C27" s="17" t="s">
        <v>146</v>
      </c>
      <c r="D27" s="17" t="s">
        <v>236</v>
      </c>
      <c r="E27" s="18">
        <v>4008101</v>
      </c>
      <c r="F27" s="18">
        <f t="shared" si="0"/>
        <v>1000000</v>
      </c>
      <c r="G27" s="18">
        <v>300000</v>
      </c>
      <c r="H27" s="18">
        <v>600000</v>
      </c>
      <c r="I27" s="18">
        <v>0</v>
      </c>
      <c r="J27" s="18">
        <f t="shared" si="1"/>
        <v>1239770</v>
      </c>
      <c r="K27" s="18">
        <f t="shared" si="2"/>
        <v>2830900</v>
      </c>
      <c r="L27" s="19" t="s">
        <v>228</v>
      </c>
      <c r="M27" s="19" t="s">
        <v>29</v>
      </c>
      <c r="N27" s="19" t="s">
        <v>80</v>
      </c>
    </row>
    <row r="28" ht="42.75" spans="1:14">
      <c r="A28" s="17">
        <v>24</v>
      </c>
      <c r="B28" s="17" t="s">
        <v>27</v>
      </c>
      <c r="C28" s="17" t="s">
        <v>146</v>
      </c>
      <c r="D28" s="17" t="s">
        <v>237</v>
      </c>
      <c r="E28" s="18">
        <v>5008101</v>
      </c>
      <c r="F28" s="18">
        <f t="shared" si="0"/>
        <v>1000000</v>
      </c>
      <c r="G28" s="18">
        <v>350000</v>
      </c>
      <c r="H28" s="18">
        <v>700000</v>
      </c>
      <c r="I28" s="18">
        <v>0</v>
      </c>
      <c r="J28" s="18">
        <f t="shared" si="1"/>
        <v>1589770</v>
      </c>
      <c r="K28" s="18">
        <f t="shared" si="2"/>
        <v>3530900</v>
      </c>
      <c r="L28" s="19" t="s">
        <v>228</v>
      </c>
      <c r="M28" s="19" t="s">
        <v>29</v>
      </c>
      <c r="N28" s="19" t="s">
        <v>80</v>
      </c>
    </row>
    <row r="29" ht="42.75" spans="1:14">
      <c r="A29" s="17">
        <v>25</v>
      </c>
      <c r="B29" s="17" t="s">
        <v>27</v>
      </c>
      <c r="C29" s="17" t="s">
        <v>146</v>
      </c>
      <c r="D29" s="17" t="s">
        <v>238</v>
      </c>
      <c r="E29" s="18">
        <v>6008101</v>
      </c>
      <c r="F29" s="18">
        <f t="shared" si="0"/>
        <v>1000000</v>
      </c>
      <c r="G29" s="18">
        <v>400000</v>
      </c>
      <c r="H29" s="18">
        <v>800000</v>
      </c>
      <c r="I29" s="18">
        <v>0</v>
      </c>
      <c r="J29" s="18">
        <f t="shared" si="1"/>
        <v>1989770</v>
      </c>
      <c r="K29" s="18">
        <f t="shared" si="2"/>
        <v>4330900</v>
      </c>
      <c r="L29" s="19" t="s">
        <v>228</v>
      </c>
      <c r="M29" s="19" t="s">
        <v>29</v>
      </c>
      <c r="N29" s="19" t="s">
        <v>80</v>
      </c>
    </row>
    <row r="31" ht="32" customHeight="1" spans="1:14">
      <c r="A31" s="20" t="s">
        <v>154</v>
      </c>
      <c r="B31" s="20"/>
      <c r="C31" s="20"/>
      <c r="D31" s="20"/>
      <c r="E31" s="20"/>
      <c r="F31" s="20"/>
      <c r="G31" s="21">
        <f>SUM(G5:G29)</f>
        <v>1989770</v>
      </c>
      <c r="H31" s="21">
        <f>SUM(H5:H29)</f>
        <v>4330900</v>
      </c>
      <c r="I31" s="21">
        <f>SUM(I5:I29)</f>
        <v>4</v>
      </c>
      <c r="J31" s="20" t="s">
        <v>155</v>
      </c>
      <c r="K31" s="20"/>
      <c r="L31" s="20"/>
      <c r="M31" s="20"/>
      <c r="N31" s="20"/>
    </row>
    <row r="34" ht="28" customHeight="1" spans="1:7">
      <c r="A34" s="37"/>
      <c r="B34" s="37"/>
      <c r="C34" s="37"/>
      <c r="D34" s="37"/>
      <c r="E34" s="37"/>
      <c r="F34" s="37"/>
      <c r="G34" s="37"/>
    </row>
    <row r="35" ht="15" spans="1:7">
      <c r="A35" s="22"/>
      <c r="B35" s="22"/>
      <c r="C35" s="22"/>
      <c r="D35" s="22"/>
      <c r="E35" s="22"/>
      <c r="F35" s="22"/>
      <c r="G35" s="22"/>
    </row>
    <row r="36" spans="1:7">
      <c r="A36" s="23"/>
      <c r="B36" s="23"/>
      <c r="C36" s="23"/>
      <c r="D36" s="23"/>
      <c r="E36" s="23"/>
      <c r="F36" s="23"/>
      <c r="G36" s="23"/>
    </row>
    <row r="37" spans="1:7">
      <c r="A37" s="24"/>
      <c r="B37" s="24"/>
      <c r="C37" s="24"/>
      <c r="D37" s="24"/>
      <c r="E37" s="24"/>
      <c r="F37" s="24"/>
      <c r="G37" s="24"/>
    </row>
    <row r="38" spans="1:7">
      <c r="A38" s="23"/>
      <c r="B38" s="23"/>
      <c r="C38" s="23"/>
      <c r="D38" s="23"/>
      <c r="E38" s="23"/>
      <c r="F38" s="23"/>
      <c r="G38" s="23"/>
    </row>
  </sheetData>
  <mergeCells count="6">
    <mergeCell ref="A1:N1"/>
    <mergeCell ref="A2:N2"/>
    <mergeCell ref="P4:V4"/>
    <mergeCell ref="A31:F31"/>
    <mergeCell ref="J31:N31"/>
    <mergeCell ref="A34:G3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tabSelected="1" topLeftCell="A7" workbookViewId="0">
      <selection activeCell="L22" sqref="L22"/>
    </sheetView>
  </sheetViews>
  <sheetFormatPr defaultColWidth="9" defaultRowHeight="14.25"/>
  <cols>
    <col min="1" max="1" width="8" customWidth="1"/>
    <col min="2" max="2" width="16" customWidth="1"/>
    <col min="3" max="3" width="9" customWidth="1"/>
    <col min="4" max="4" width="25" customWidth="1"/>
    <col min="5" max="5" width="16" customWidth="1"/>
    <col min="6" max="8" width="17" customWidth="1"/>
    <col min="9" max="9" width="12" customWidth="1"/>
    <col min="10" max="11" width="16" customWidth="1"/>
    <col min="12" max="12" width="58" customWidth="1"/>
    <col min="13" max="13" width="16" customWidth="1"/>
    <col min="14" max="14" width="38" customWidth="1"/>
    <col min="16" max="16" width="15" customWidth="1"/>
    <col min="17" max="17" width="20" customWidth="1"/>
    <col min="18" max="18" width="16" customWidth="1"/>
    <col min="19" max="19" width="18" customWidth="1"/>
    <col min="20" max="20" width="65" customWidth="1"/>
    <col min="21" max="21" width="40" customWidth="1"/>
    <col min="22" max="22" width="44" customWidth="1"/>
  </cols>
  <sheetData>
    <row r="1" ht="32" customHeight="1" spans="1:22">
      <c r="A1" s="34" t="s">
        <v>30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ht="42" customHeight="1" spans="1:22">
      <c r="A2" s="2" t="s">
        <v>239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0" customHeight="1" spans="1:22">
      <c r="A4" s="3" t="s">
        <v>2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</v>
      </c>
      <c r="N4" s="3" t="s">
        <v>77</v>
      </c>
      <c r="P4" s="35" t="s">
        <v>78</v>
      </c>
      <c r="Q4" s="35"/>
      <c r="R4" s="35"/>
      <c r="S4" s="35"/>
      <c r="T4" s="35"/>
      <c r="U4" s="35"/>
      <c r="V4" s="35"/>
    </row>
    <row r="5" ht="30" customHeight="1" spans="1:22">
      <c r="A5" s="5">
        <v>1</v>
      </c>
      <c r="B5" s="5" t="s">
        <v>79</v>
      </c>
      <c r="C5" s="5" t="s">
        <v>80</v>
      </c>
      <c r="D5" s="5" t="s">
        <v>81</v>
      </c>
      <c r="E5" s="6">
        <v>172</v>
      </c>
      <c r="F5" s="6" t="s">
        <v>82</v>
      </c>
      <c r="G5" s="6">
        <v>0</v>
      </c>
      <c r="H5" s="6">
        <v>50</v>
      </c>
      <c r="I5" s="6">
        <v>0</v>
      </c>
      <c r="J5" s="6">
        <f>G5</f>
        <v>0</v>
      </c>
      <c r="K5" s="6">
        <f>H5</f>
        <v>50</v>
      </c>
      <c r="L5" s="7" t="s">
        <v>83</v>
      </c>
      <c r="M5" s="7" t="s">
        <v>35</v>
      </c>
      <c r="N5" s="7" t="s">
        <v>84</v>
      </c>
      <c r="P5" s="8" t="s">
        <v>66</v>
      </c>
      <c r="Q5" s="8" t="s">
        <v>85</v>
      </c>
      <c r="R5" s="8" t="s">
        <v>86</v>
      </c>
      <c r="S5" s="8" t="s">
        <v>87</v>
      </c>
      <c r="T5" s="8" t="s">
        <v>88</v>
      </c>
      <c r="U5" s="8" t="s">
        <v>89</v>
      </c>
      <c r="V5" s="8" t="s">
        <v>77</v>
      </c>
    </row>
    <row r="6" spans="1:22">
      <c r="A6" s="5">
        <v>2</v>
      </c>
      <c r="B6" s="5" t="s">
        <v>79</v>
      </c>
      <c r="C6" s="5" t="s">
        <v>80</v>
      </c>
      <c r="D6" s="5" t="s">
        <v>59</v>
      </c>
      <c r="E6" s="6">
        <v>251</v>
      </c>
      <c r="F6" s="6">
        <f t="shared" ref="F6:F29" si="0">E6-E5</f>
        <v>79</v>
      </c>
      <c r="G6" s="6">
        <v>0</v>
      </c>
      <c r="H6" s="6">
        <v>100</v>
      </c>
      <c r="I6" s="6">
        <v>0</v>
      </c>
      <c r="J6" s="6">
        <f t="shared" ref="J6:J29" si="1">J5+G6</f>
        <v>0</v>
      </c>
      <c r="K6" s="6">
        <f t="shared" ref="K6:K29" si="2">K5+H6</f>
        <v>150</v>
      </c>
      <c r="L6" s="7" t="s">
        <v>83</v>
      </c>
      <c r="M6" s="7" t="s">
        <v>35</v>
      </c>
      <c r="N6" s="7" t="s">
        <v>90</v>
      </c>
      <c r="P6" s="9" t="s">
        <v>4</v>
      </c>
      <c r="Q6" s="9" t="s">
        <v>240</v>
      </c>
      <c r="R6" s="9" t="s">
        <v>98</v>
      </c>
      <c r="S6" s="9" t="s">
        <v>99</v>
      </c>
      <c r="T6" s="9" t="s">
        <v>241</v>
      </c>
      <c r="U6" s="9" t="s">
        <v>242</v>
      </c>
      <c r="V6" s="9" t="s">
        <v>243</v>
      </c>
    </row>
    <row r="7" spans="1:22">
      <c r="A7" s="5">
        <v>3</v>
      </c>
      <c r="B7" s="5" t="s">
        <v>79</v>
      </c>
      <c r="C7" s="5" t="s">
        <v>80</v>
      </c>
      <c r="D7" s="5" t="s">
        <v>97</v>
      </c>
      <c r="E7" s="6">
        <v>301</v>
      </c>
      <c r="F7" s="6">
        <f t="shared" si="0"/>
        <v>50</v>
      </c>
      <c r="G7" s="6">
        <v>0</v>
      </c>
      <c r="H7" s="6">
        <v>200</v>
      </c>
      <c r="I7" s="6">
        <v>0</v>
      </c>
      <c r="J7" s="6">
        <f t="shared" si="1"/>
        <v>0</v>
      </c>
      <c r="K7" s="6">
        <f t="shared" si="2"/>
        <v>350</v>
      </c>
      <c r="L7" s="7" t="s">
        <v>83</v>
      </c>
      <c r="M7" s="7" t="s">
        <v>35</v>
      </c>
      <c r="N7" s="7" t="s">
        <v>80</v>
      </c>
      <c r="P7" s="10" t="s">
        <v>5</v>
      </c>
      <c r="Q7" s="10" t="s">
        <v>32</v>
      </c>
      <c r="R7" s="10" t="s">
        <v>98</v>
      </c>
      <c r="S7" s="10" t="s">
        <v>99</v>
      </c>
      <c r="T7" s="10" t="s">
        <v>244</v>
      </c>
      <c r="U7" s="10" t="s">
        <v>245</v>
      </c>
      <c r="V7" s="10" t="s">
        <v>246</v>
      </c>
    </row>
    <row r="8" ht="27.75" spans="1:22">
      <c r="A8" s="5">
        <v>4</v>
      </c>
      <c r="B8" s="5" t="s">
        <v>79</v>
      </c>
      <c r="C8" s="5" t="s">
        <v>80</v>
      </c>
      <c r="D8" s="5" t="s">
        <v>103</v>
      </c>
      <c r="E8" s="6">
        <v>401</v>
      </c>
      <c r="F8" s="6">
        <f t="shared" si="0"/>
        <v>100</v>
      </c>
      <c r="G8" s="6">
        <v>0</v>
      </c>
      <c r="H8" s="6">
        <v>250</v>
      </c>
      <c r="I8" s="6">
        <v>0</v>
      </c>
      <c r="J8" s="6">
        <f t="shared" si="1"/>
        <v>0</v>
      </c>
      <c r="K8" s="6">
        <f t="shared" si="2"/>
        <v>600</v>
      </c>
      <c r="L8" s="7" t="s">
        <v>83</v>
      </c>
      <c r="M8" s="7" t="s">
        <v>35</v>
      </c>
      <c r="N8" s="7" t="s">
        <v>80</v>
      </c>
      <c r="P8" s="9" t="s">
        <v>6</v>
      </c>
      <c r="Q8" s="9" t="s">
        <v>33</v>
      </c>
      <c r="R8" s="9" t="s">
        <v>98</v>
      </c>
      <c r="S8" s="9" t="s">
        <v>114</v>
      </c>
      <c r="T8" s="9" t="s">
        <v>247</v>
      </c>
      <c r="U8" s="9" t="s">
        <v>248</v>
      </c>
      <c r="V8" s="9" t="s">
        <v>102</v>
      </c>
    </row>
    <row r="9" spans="1:22">
      <c r="A9" s="5">
        <v>5</v>
      </c>
      <c r="B9" s="5" t="s">
        <v>79</v>
      </c>
      <c r="C9" s="5" t="s">
        <v>80</v>
      </c>
      <c r="D9" s="5" t="s">
        <v>107</v>
      </c>
      <c r="E9" s="6">
        <v>501</v>
      </c>
      <c r="F9" s="6">
        <f t="shared" si="0"/>
        <v>100</v>
      </c>
      <c r="G9" s="6">
        <v>0</v>
      </c>
      <c r="H9" s="6">
        <v>300</v>
      </c>
      <c r="I9" s="6">
        <v>0</v>
      </c>
      <c r="J9" s="6">
        <f t="shared" si="1"/>
        <v>0</v>
      </c>
      <c r="K9" s="6">
        <f t="shared" si="2"/>
        <v>900</v>
      </c>
      <c r="L9" s="7" t="s">
        <v>83</v>
      </c>
      <c r="M9" s="7" t="s">
        <v>35</v>
      </c>
      <c r="N9" s="7" t="s">
        <v>80</v>
      </c>
    </row>
    <row r="10" spans="1:22">
      <c r="A10" s="11">
        <v>6</v>
      </c>
      <c r="B10" s="11" t="s">
        <v>31</v>
      </c>
      <c r="C10" s="11" t="s">
        <v>110</v>
      </c>
      <c r="D10" s="11" t="s">
        <v>249</v>
      </c>
      <c r="E10" s="12">
        <v>901</v>
      </c>
      <c r="F10" s="12">
        <f t="shared" si="0"/>
        <v>400</v>
      </c>
      <c r="G10" s="12">
        <v>20</v>
      </c>
      <c r="H10" s="12">
        <v>1000</v>
      </c>
      <c r="I10" s="12">
        <v>1</v>
      </c>
      <c r="J10" s="12">
        <f t="shared" si="1"/>
        <v>20</v>
      </c>
      <c r="K10" s="12">
        <f t="shared" si="2"/>
        <v>1900</v>
      </c>
      <c r="L10" s="13" t="s">
        <v>250</v>
      </c>
      <c r="M10" s="13" t="s">
        <v>35</v>
      </c>
      <c r="N10" s="13" t="s">
        <v>113</v>
      </c>
    </row>
    <row r="11" spans="1:22">
      <c r="A11" s="11">
        <v>7</v>
      </c>
      <c r="B11" s="11" t="s">
        <v>31</v>
      </c>
      <c r="C11" s="11" t="s">
        <v>110</v>
      </c>
      <c r="D11" s="11" t="s">
        <v>251</v>
      </c>
      <c r="E11" s="12">
        <v>1501</v>
      </c>
      <c r="F11" s="12">
        <f t="shared" si="0"/>
        <v>600</v>
      </c>
      <c r="G11" s="12">
        <v>50</v>
      </c>
      <c r="H11" s="12">
        <v>1500</v>
      </c>
      <c r="I11" s="12">
        <v>0</v>
      </c>
      <c r="J11" s="12">
        <f t="shared" si="1"/>
        <v>70</v>
      </c>
      <c r="K11" s="12">
        <f t="shared" si="2"/>
        <v>3400</v>
      </c>
      <c r="L11" s="13" t="s">
        <v>252</v>
      </c>
      <c r="M11" s="13" t="s">
        <v>35</v>
      </c>
      <c r="N11" s="13" t="s">
        <v>80</v>
      </c>
    </row>
    <row r="12" spans="1:22">
      <c r="A12" s="11">
        <v>8</v>
      </c>
      <c r="B12" s="11" t="s">
        <v>31</v>
      </c>
      <c r="C12" s="11" t="s">
        <v>110</v>
      </c>
      <c r="D12" s="11" t="s">
        <v>253</v>
      </c>
      <c r="E12" s="12">
        <v>2101</v>
      </c>
      <c r="F12" s="12">
        <f t="shared" si="0"/>
        <v>600</v>
      </c>
      <c r="G12" s="12">
        <v>200</v>
      </c>
      <c r="H12" s="12">
        <v>2000</v>
      </c>
      <c r="I12" s="12">
        <v>0</v>
      </c>
      <c r="J12" s="12">
        <f t="shared" si="1"/>
        <v>270</v>
      </c>
      <c r="K12" s="12">
        <f t="shared" si="2"/>
        <v>5400</v>
      </c>
      <c r="L12" s="13" t="s">
        <v>254</v>
      </c>
      <c r="M12" s="13" t="s">
        <v>35</v>
      </c>
      <c r="N12" s="13" t="s">
        <v>80</v>
      </c>
    </row>
    <row r="13" spans="1:22">
      <c r="A13" s="11">
        <v>9</v>
      </c>
      <c r="B13" s="11" t="s">
        <v>31</v>
      </c>
      <c r="C13" s="11" t="s">
        <v>110</v>
      </c>
      <c r="D13" s="11" t="s">
        <v>255</v>
      </c>
      <c r="E13" s="12">
        <v>3901</v>
      </c>
      <c r="F13" s="12">
        <f t="shared" si="0"/>
        <v>1800</v>
      </c>
      <c r="G13" s="12">
        <v>500</v>
      </c>
      <c r="H13" s="12">
        <v>2500</v>
      </c>
      <c r="I13" s="12">
        <v>0</v>
      </c>
      <c r="J13" s="12">
        <f t="shared" si="1"/>
        <v>770</v>
      </c>
      <c r="K13" s="12">
        <f t="shared" si="2"/>
        <v>7900</v>
      </c>
      <c r="L13" s="13" t="s">
        <v>256</v>
      </c>
      <c r="M13" s="13" t="s">
        <v>35</v>
      </c>
      <c r="N13" s="13" t="s">
        <v>80</v>
      </c>
    </row>
    <row r="14" spans="1:22">
      <c r="A14" s="11">
        <v>10</v>
      </c>
      <c r="B14" s="11" t="s">
        <v>31</v>
      </c>
      <c r="C14" s="11" t="s">
        <v>110</v>
      </c>
      <c r="D14" s="11" t="s">
        <v>257</v>
      </c>
      <c r="E14" s="12">
        <v>6101</v>
      </c>
      <c r="F14" s="12">
        <f t="shared" si="0"/>
        <v>2200</v>
      </c>
      <c r="G14" s="12">
        <v>1000</v>
      </c>
      <c r="H14" s="12">
        <v>3000</v>
      </c>
      <c r="I14" s="12">
        <v>0</v>
      </c>
      <c r="J14" s="12">
        <f t="shared" si="1"/>
        <v>1770</v>
      </c>
      <c r="K14" s="12">
        <f t="shared" si="2"/>
        <v>10900</v>
      </c>
      <c r="L14" s="13" t="s">
        <v>258</v>
      </c>
      <c r="M14" s="13" t="s">
        <v>35</v>
      </c>
      <c r="N14" s="13" t="s">
        <v>80</v>
      </c>
    </row>
    <row r="15" ht="28.5" spans="1:22">
      <c r="A15" s="14">
        <v>11</v>
      </c>
      <c r="B15" s="14" t="s">
        <v>32</v>
      </c>
      <c r="C15" s="14" t="s">
        <v>125</v>
      </c>
      <c r="D15" s="14" t="s">
        <v>259</v>
      </c>
      <c r="E15" s="15">
        <v>12101</v>
      </c>
      <c r="F15" s="15">
        <f t="shared" si="0"/>
        <v>6000</v>
      </c>
      <c r="G15" s="15">
        <v>1000</v>
      </c>
      <c r="H15" s="15">
        <v>20000</v>
      </c>
      <c r="I15" s="15">
        <v>1</v>
      </c>
      <c r="J15" s="15">
        <f t="shared" si="1"/>
        <v>2770</v>
      </c>
      <c r="K15" s="15">
        <f t="shared" si="2"/>
        <v>30900</v>
      </c>
      <c r="L15" s="16" t="s">
        <v>260</v>
      </c>
      <c r="M15" s="16" t="s">
        <v>35</v>
      </c>
      <c r="N15" s="16" t="s">
        <v>128</v>
      </c>
    </row>
    <row r="16" ht="28.5" spans="1:22">
      <c r="A16" s="14">
        <v>12</v>
      </c>
      <c r="B16" s="14" t="s">
        <v>32</v>
      </c>
      <c r="C16" s="14" t="s">
        <v>125</v>
      </c>
      <c r="D16" s="14" t="s">
        <v>261</v>
      </c>
      <c r="E16" s="15">
        <v>35101</v>
      </c>
      <c r="F16" s="15">
        <f t="shared" si="0"/>
        <v>23000</v>
      </c>
      <c r="G16" s="15">
        <v>2000</v>
      </c>
      <c r="H16" s="15">
        <v>40000</v>
      </c>
      <c r="I16" s="15">
        <v>0</v>
      </c>
      <c r="J16" s="15">
        <f t="shared" si="1"/>
        <v>4770</v>
      </c>
      <c r="K16" s="15">
        <f t="shared" si="2"/>
        <v>70900</v>
      </c>
      <c r="L16" s="16" t="s">
        <v>262</v>
      </c>
      <c r="M16" s="16" t="s">
        <v>35</v>
      </c>
      <c r="N16" s="16" t="s">
        <v>80</v>
      </c>
    </row>
    <row r="17" ht="28.5" spans="1:14">
      <c r="A17" s="14">
        <v>13</v>
      </c>
      <c r="B17" s="14" t="s">
        <v>32</v>
      </c>
      <c r="C17" s="14" t="s">
        <v>125</v>
      </c>
      <c r="D17" s="14" t="s">
        <v>263</v>
      </c>
      <c r="E17" s="15">
        <v>50101</v>
      </c>
      <c r="F17" s="15">
        <f t="shared" si="0"/>
        <v>15000</v>
      </c>
      <c r="G17" s="15">
        <v>5000</v>
      </c>
      <c r="H17" s="15">
        <v>60000</v>
      </c>
      <c r="I17" s="15">
        <v>0</v>
      </c>
      <c r="J17" s="15">
        <f t="shared" si="1"/>
        <v>9770</v>
      </c>
      <c r="K17" s="15">
        <f t="shared" si="2"/>
        <v>130900</v>
      </c>
      <c r="L17" s="16" t="s">
        <v>264</v>
      </c>
      <c r="M17" s="16" t="s">
        <v>35</v>
      </c>
      <c r="N17" s="16" t="s">
        <v>80</v>
      </c>
    </row>
    <row r="18" ht="28.5" spans="1:14">
      <c r="A18" s="14">
        <v>14</v>
      </c>
      <c r="B18" s="14" t="s">
        <v>32</v>
      </c>
      <c r="C18" s="14" t="s">
        <v>125</v>
      </c>
      <c r="D18" s="14" t="s">
        <v>265</v>
      </c>
      <c r="E18" s="15">
        <v>75101</v>
      </c>
      <c r="F18" s="15">
        <f t="shared" si="0"/>
        <v>25000</v>
      </c>
      <c r="G18" s="15">
        <v>10000</v>
      </c>
      <c r="H18" s="15">
        <v>100000</v>
      </c>
      <c r="I18" s="15">
        <v>0</v>
      </c>
      <c r="J18" s="15">
        <f t="shared" si="1"/>
        <v>19770</v>
      </c>
      <c r="K18" s="15">
        <f t="shared" si="2"/>
        <v>230900</v>
      </c>
      <c r="L18" s="16" t="s">
        <v>266</v>
      </c>
      <c r="M18" s="16" t="s">
        <v>35</v>
      </c>
      <c r="N18" s="16" t="s">
        <v>80</v>
      </c>
    </row>
    <row r="19" ht="28.5" spans="1:14">
      <c r="A19" s="14">
        <v>15</v>
      </c>
      <c r="B19" s="14" t="s">
        <v>32</v>
      </c>
      <c r="C19" s="14" t="s">
        <v>125</v>
      </c>
      <c r="D19" s="14" t="s">
        <v>267</v>
      </c>
      <c r="E19" s="15">
        <v>108101</v>
      </c>
      <c r="F19" s="15">
        <f t="shared" si="0"/>
        <v>33000</v>
      </c>
      <c r="G19" s="15">
        <v>20000</v>
      </c>
      <c r="H19" s="15">
        <v>100000</v>
      </c>
      <c r="I19" s="15">
        <v>0</v>
      </c>
      <c r="J19" s="15">
        <f t="shared" si="1"/>
        <v>39770</v>
      </c>
      <c r="K19" s="15">
        <f t="shared" si="2"/>
        <v>330900</v>
      </c>
      <c r="L19" s="16" t="s">
        <v>268</v>
      </c>
      <c r="M19" s="16" t="s">
        <v>35</v>
      </c>
      <c r="N19" s="16" t="s">
        <v>80</v>
      </c>
    </row>
    <row r="20" ht="57" spans="1:14">
      <c r="A20" s="17">
        <v>16</v>
      </c>
      <c r="B20" s="17" t="s">
        <v>33</v>
      </c>
      <c r="C20" s="17" t="s">
        <v>137</v>
      </c>
      <c r="D20" s="17" t="s">
        <v>269</v>
      </c>
      <c r="E20" s="18">
        <v>308101</v>
      </c>
      <c r="F20" s="18">
        <f t="shared" si="0"/>
        <v>200000</v>
      </c>
      <c r="G20" s="18">
        <v>30000</v>
      </c>
      <c r="H20" s="18">
        <v>200000</v>
      </c>
      <c r="I20" s="18">
        <v>2</v>
      </c>
      <c r="J20" s="18">
        <f t="shared" si="1"/>
        <v>69770</v>
      </c>
      <c r="K20" s="18">
        <f t="shared" si="2"/>
        <v>530900</v>
      </c>
      <c r="L20" s="19" t="s">
        <v>270</v>
      </c>
      <c r="M20" s="19" t="s">
        <v>35</v>
      </c>
      <c r="N20" s="19" t="s">
        <v>140</v>
      </c>
    </row>
    <row r="21" ht="57" spans="1:14">
      <c r="A21" s="17">
        <v>17</v>
      </c>
      <c r="B21" s="17" t="s">
        <v>33</v>
      </c>
      <c r="C21" s="17" t="s">
        <v>137</v>
      </c>
      <c r="D21" s="17" t="s">
        <v>271</v>
      </c>
      <c r="E21" s="18">
        <v>508101</v>
      </c>
      <c r="F21" s="18">
        <f t="shared" si="0"/>
        <v>200000</v>
      </c>
      <c r="G21" s="18">
        <v>60000</v>
      </c>
      <c r="H21" s="18">
        <v>200000</v>
      </c>
      <c r="I21" s="18">
        <v>0</v>
      </c>
      <c r="J21" s="18">
        <f t="shared" si="1"/>
        <v>129770</v>
      </c>
      <c r="K21" s="18">
        <f t="shared" si="2"/>
        <v>730900</v>
      </c>
      <c r="L21" s="19" t="s">
        <v>270</v>
      </c>
      <c r="M21" s="19" t="s">
        <v>35</v>
      </c>
      <c r="N21" s="19" t="s">
        <v>80</v>
      </c>
    </row>
    <row r="22" ht="57" spans="1:14">
      <c r="A22" s="17">
        <v>18</v>
      </c>
      <c r="B22" s="17" t="s">
        <v>33</v>
      </c>
      <c r="C22" s="17" t="s">
        <v>137</v>
      </c>
      <c r="D22" s="17" t="s">
        <v>272</v>
      </c>
      <c r="E22" s="18">
        <v>808101</v>
      </c>
      <c r="F22" s="18">
        <f t="shared" si="0"/>
        <v>300000</v>
      </c>
      <c r="G22" s="18">
        <v>90000</v>
      </c>
      <c r="H22" s="18">
        <v>200000</v>
      </c>
      <c r="I22" s="18">
        <v>0</v>
      </c>
      <c r="J22" s="18">
        <f t="shared" si="1"/>
        <v>219770</v>
      </c>
      <c r="K22" s="18">
        <f t="shared" si="2"/>
        <v>930900</v>
      </c>
      <c r="L22" s="19" t="s">
        <v>270</v>
      </c>
      <c r="M22" s="19" t="s">
        <v>35</v>
      </c>
      <c r="N22" s="19" t="s">
        <v>80</v>
      </c>
    </row>
    <row r="23" ht="57" spans="1:14">
      <c r="A23" s="17">
        <v>19</v>
      </c>
      <c r="B23" s="17" t="s">
        <v>33</v>
      </c>
      <c r="C23" s="17" t="s">
        <v>137</v>
      </c>
      <c r="D23" s="17" t="s">
        <v>273</v>
      </c>
      <c r="E23" s="18">
        <v>1008101</v>
      </c>
      <c r="F23" s="18">
        <f t="shared" si="0"/>
        <v>200000</v>
      </c>
      <c r="G23" s="18">
        <v>120000</v>
      </c>
      <c r="H23" s="18">
        <v>200000</v>
      </c>
      <c r="I23" s="18">
        <v>0</v>
      </c>
      <c r="J23" s="18">
        <f t="shared" si="1"/>
        <v>339770</v>
      </c>
      <c r="K23" s="18">
        <f t="shared" si="2"/>
        <v>1130900</v>
      </c>
      <c r="L23" s="19" t="s">
        <v>270</v>
      </c>
      <c r="M23" s="19" t="s">
        <v>35</v>
      </c>
      <c r="N23" s="19" t="s">
        <v>80</v>
      </c>
    </row>
    <row r="24" ht="57" spans="1:14">
      <c r="A24" s="17">
        <v>20</v>
      </c>
      <c r="B24" s="17" t="s">
        <v>33</v>
      </c>
      <c r="C24" s="17" t="s">
        <v>137</v>
      </c>
      <c r="D24" s="17" t="s">
        <v>274</v>
      </c>
      <c r="E24" s="18">
        <v>1508101</v>
      </c>
      <c r="F24" s="18">
        <f t="shared" si="0"/>
        <v>500000</v>
      </c>
      <c r="G24" s="18">
        <v>150000</v>
      </c>
      <c r="H24" s="18">
        <v>200000</v>
      </c>
      <c r="I24" s="18">
        <v>0</v>
      </c>
      <c r="J24" s="18">
        <f t="shared" si="1"/>
        <v>489770</v>
      </c>
      <c r="K24" s="18">
        <f t="shared" si="2"/>
        <v>1330900</v>
      </c>
      <c r="L24" s="19" t="s">
        <v>270</v>
      </c>
      <c r="M24" s="19" t="s">
        <v>35</v>
      </c>
      <c r="N24" s="19" t="s">
        <v>80</v>
      </c>
    </row>
    <row r="25" ht="57" spans="1:14">
      <c r="A25" s="17">
        <v>21</v>
      </c>
      <c r="B25" s="17" t="s">
        <v>33</v>
      </c>
      <c r="C25" s="17" t="s">
        <v>146</v>
      </c>
      <c r="D25" s="17" t="s">
        <v>275</v>
      </c>
      <c r="E25" s="18">
        <v>2008101</v>
      </c>
      <c r="F25" s="18">
        <f t="shared" si="0"/>
        <v>500000</v>
      </c>
      <c r="G25" s="18">
        <v>200000</v>
      </c>
      <c r="H25" s="18">
        <v>400000</v>
      </c>
      <c r="I25" s="18">
        <v>0</v>
      </c>
      <c r="J25" s="18">
        <f t="shared" si="1"/>
        <v>689770</v>
      </c>
      <c r="K25" s="18">
        <f t="shared" si="2"/>
        <v>1730900</v>
      </c>
      <c r="L25" s="19" t="s">
        <v>270</v>
      </c>
      <c r="M25" s="19" t="s">
        <v>35</v>
      </c>
      <c r="N25" s="19" t="s">
        <v>148</v>
      </c>
    </row>
    <row r="26" ht="57" spans="1:14">
      <c r="A26" s="17">
        <v>22</v>
      </c>
      <c r="B26" s="17" t="s">
        <v>33</v>
      </c>
      <c r="C26" s="17" t="s">
        <v>146</v>
      </c>
      <c r="D26" s="17" t="s">
        <v>276</v>
      </c>
      <c r="E26" s="18">
        <v>3008101</v>
      </c>
      <c r="F26" s="18">
        <f t="shared" si="0"/>
        <v>1000000</v>
      </c>
      <c r="G26" s="18">
        <v>250000</v>
      </c>
      <c r="H26" s="18">
        <v>500000</v>
      </c>
      <c r="I26" s="18">
        <v>0</v>
      </c>
      <c r="J26" s="18">
        <f t="shared" si="1"/>
        <v>939770</v>
      </c>
      <c r="K26" s="18">
        <f t="shared" si="2"/>
        <v>2230900</v>
      </c>
      <c r="L26" s="19" t="s">
        <v>270</v>
      </c>
      <c r="M26" s="19" t="s">
        <v>35</v>
      </c>
      <c r="N26" s="19" t="s">
        <v>80</v>
      </c>
    </row>
    <row r="27" ht="57" spans="1:14">
      <c r="A27" s="17">
        <v>23</v>
      </c>
      <c r="B27" s="17" t="s">
        <v>33</v>
      </c>
      <c r="C27" s="17" t="s">
        <v>146</v>
      </c>
      <c r="D27" s="17" t="s">
        <v>277</v>
      </c>
      <c r="E27" s="18">
        <v>4008101</v>
      </c>
      <c r="F27" s="18">
        <f t="shared" si="0"/>
        <v>1000000</v>
      </c>
      <c r="G27" s="18">
        <v>300000</v>
      </c>
      <c r="H27" s="18">
        <v>600000</v>
      </c>
      <c r="I27" s="18">
        <v>0</v>
      </c>
      <c r="J27" s="18">
        <f t="shared" si="1"/>
        <v>1239770</v>
      </c>
      <c r="K27" s="18">
        <f t="shared" si="2"/>
        <v>2830900</v>
      </c>
      <c r="L27" s="19" t="s">
        <v>270</v>
      </c>
      <c r="M27" s="19" t="s">
        <v>35</v>
      </c>
      <c r="N27" s="19" t="s">
        <v>80</v>
      </c>
    </row>
    <row r="28" ht="57" spans="1:14">
      <c r="A28" s="17">
        <v>24</v>
      </c>
      <c r="B28" s="17" t="s">
        <v>33</v>
      </c>
      <c r="C28" s="17" t="s">
        <v>146</v>
      </c>
      <c r="D28" s="17" t="s">
        <v>278</v>
      </c>
      <c r="E28" s="18">
        <v>5008101</v>
      </c>
      <c r="F28" s="18">
        <f t="shared" si="0"/>
        <v>1000000</v>
      </c>
      <c r="G28" s="18">
        <v>350000</v>
      </c>
      <c r="H28" s="18">
        <v>700000</v>
      </c>
      <c r="I28" s="18">
        <v>0</v>
      </c>
      <c r="J28" s="18">
        <f t="shared" si="1"/>
        <v>1589770</v>
      </c>
      <c r="K28" s="18">
        <f t="shared" si="2"/>
        <v>3530900</v>
      </c>
      <c r="L28" s="19" t="s">
        <v>270</v>
      </c>
      <c r="M28" s="19" t="s">
        <v>35</v>
      </c>
      <c r="N28" s="19" t="s">
        <v>80</v>
      </c>
    </row>
    <row r="29" ht="57" spans="1:14">
      <c r="A29" s="17">
        <v>25</v>
      </c>
      <c r="B29" s="17" t="s">
        <v>33</v>
      </c>
      <c r="C29" s="17" t="s">
        <v>146</v>
      </c>
      <c r="D29" s="17" t="s">
        <v>279</v>
      </c>
      <c r="E29" s="18">
        <v>6008101</v>
      </c>
      <c r="F29" s="18">
        <f t="shared" si="0"/>
        <v>1000000</v>
      </c>
      <c r="G29" s="18">
        <v>400000</v>
      </c>
      <c r="H29" s="18">
        <v>800000</v>
      </c>
      <c r="I29" s="18">
        <v>0</v>
      </c>
      <c r="J29" s="18">
        <f t="shared" si="1"/>
        <v>1989770</v>
      </c>
      <c r="K29" s="18">
        <f t="shared" si="2"/>
        <v>4330900</v>
      </c>
      <c r="L29" s="19" t="s">
        <v>270</v>
      </c>
      <c r="M29" s="19" t="s">
        <v>35</v>
      </c>
      <c r="N29" s="19" t="s">
        <v>80</v>
      </c>
    </row>
    <row r="31" ht="32" customHeight="1" spans="1:14">
      <c r="A31" s="20" t="s">
        <v>154</v>
      </c>
      <c r="B31" s="20"/>
      <c r="C31" s="20"/>
      <c r="D31" s="20"/>
      <c r="E31" s="20"/>
      <c r="F31" s="20"/>
      <c r="G31" s="21">
        <f>SUM(G5:G29)</f>
        <v>1989770</v>
      </c>
      <c r="H31" s="21">
        <f>SUM(H5:H29)</f>
        <v>4330900</v>
      </c>
      <c r="I31" s="21">
        <f>SUM(I5:I29)</f>
        <v>4</v>
      </c>
      <c r="J31" s="20" t="s">
        <v>155</v>
      </c>
      <c r="K31" s="20"/>
      <c r="L31" s="20"/>
      <c r="M31" s="20"/>
      <c r="N31" s="20"/>
    </row>
    <row r="34" ht="28" customHeight="1" spans="1:7">
      <c r="A34" s="35"/>
      <c r="B34" s="35"/>
      <c r="C34" s="35"/>
      <c r="D34" s="35"/>
      <c r="E34" s="35"/>
      <c r="F34" s="35"/>
      <c r="G34" s="35"/>
    </row>
    <row r="35" ht="15" spans="1:7">
      <c r="A35" s="22"/>
      <c r="B35" s="22"/>
      <c r="C35" s="22"/>
      <c r="D35" s="22"/>
      <c r="E35" s="22"/>
      <c r="F35" s="22"/>
      <c r="G35" s="22"/>
    </row>
    <row r="36" spans="1:7">
      <c r="A36" s="23"/>
      <c r="B36" s="23"/>
      <c r="C36" s="23"/>
      <c r="D36" s="23"/>
      <c r="E36" s="23"/>
      <c r="F36" s="23"/>
      <c r="G36" s="23"/>
    </row>
    <row r="37" spans="1:7">
      <c r="A37" s="24"/>
      <c r="B37" s="24"/>
      <c r="C37" s="24"/>
      <c r="D37" s="24"/>
      <c r="E37" s="24"/>
      <c r="F37" s="24"/>
      <c r="G37" s="24"/>
    </row>
    <row r="38" spans="1:7">
      <c r="A38" s="23"/>
      <c r="B38" s="23"/>
      <c r="C38" s="23"/>
      <c r="D38" s="23"/>
      <c r="E38" s="23"/>
      <c r="F38" s="23"/>
      <c r="G38" s="23"/>
    </row>
  </sheetData>
  <mergeCells count="6">
    <mergeCell ref="A1:N1"/>
    <mergeCell ref="A2:N2"/>
    <mergeCell ref="P4:V4"/>
    <mergeCell ref="A31:F31"/>
    <mergeCell ref="J31:N31"/>
    <mergeCell ref="A34:G3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topLeftCell="A3" workbookViewId="0">
      <selection activeCell="L13" sqref="L13"/>
    </sheetView>
  </sheetViews>
  <sheetFormatPr defaultColWidth="9" defaultRowHeight="14.25"/>
  <cols>
    <col min="1" max="1" width="8" customWidth="1"/>
    <col min="2" max="2" width="16" customWidth="1"/>
    <col min="3" max="3" width="9" customWidth="1"/>
    <col min="4" max="4" width="25" customWidth="1"/>
    <col min="5" max="5" width="16" customWidth="1"/>
    <col min="6" max="8" width="17" customWidth="1"/>
    <col min="9" max="9" width="12" customWidth="1"/>
    <col min="10" max="11" width="16" customWidth="1"/>
    <col min="12" max="12" width="58" customWidth="1"/>
    <col min="13" max="13" width="16" customWidth="1"/>
    <col min="14" max="14" width="38" customWidth="1"/>
    <col min="16" max="16" width="15" customWidth="1"/>
    <col min="17" max="17" width="20" customWidth="1"/>
    <col min="18" max="18" width="16" customWidth="1"/>
    <col min="19" max="19" width="18" customWidth="1"/>
    <col min="20" max="20" width="65" customWidth="1"/>
    <col min="21" max="21" width="40" customWidth="1"/>
    <col min="22" max="22" width="44" customWidth="1"/>
  </cols>
  <sheetData>
    <row r="1" ht="32" customHeight="1" spans="1:22">
      <c r="A1" s="32" t="s">
        <v>36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ht="42" customHeight="1" spans="1:22">
      <c r="A2" s="2" t="s">
        <v>280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0" customHeight="1" spans="1:22">
      <c r="A4" s="3" t="s">
        <v>2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</v>
      </c>
      <c r="N4" s="3" t="s">
        <v>77</v>
      </c>
      <c r="P4" s="33" t="s">
        <v>78</v>
      </c>
      <c r="Q4" s="33"/>
      <c r="R4" s="33"/>
      <c r="S4" s="33"/>
      <c r="T4" s="33"/>
      <c r="U4" s="33"/>
      <c r="V4" s="33"/>
    </row>
    <row r="5" ht="30" customHeight="1" spans="1:22">
      <c r="A5" s="5">
        <v>1</v>
      </c>
      <c r="B5" s="5" t="s">
        <v>79</v>
      </c>
      <c r="C5" s="5" t="s">
        <v>80</v>
      </c>
      <c r="D5" s="5" t="s">
        <v>81</v>
      </c>
      <c r="E5" s="6">
        <v>172</v>
      </c>
      <c r="F5" s="6" t="s">
        <v>82</v>
      </c>
      <c r="G5" s="6">
        <v>0</v>
      </c>
      <c r="H5" s="6">
        <v>50</v>
      </c>
      <c r="I5" s="6">
        <v>0</v>
      </c>
      <c r="J5" s="6">
        <f>G5</f>
        <v>0</v>
      </c>
      <c r="K5" s="6">
        <f>H5</f>
        <v>50</v>
      </c>
      <c r="L5" s="7" t="s">
        <v>83</v>
      </c>
      <c r="M5" s="7" t="s">
        <v>41</v>
      </c>
      <c r="N5" s="7" t="s">
        <v>84</v>
      </c>
      <c r="P5" s="8" t="s">
        <v>66</v>
      </c>
      <c r="Q5" s="8" t="s">
        <v>85</v>
      </c>
      <c r="R5" s="8" t="s">
        <v>86</v>
      </c>
      <c r="S5" s="8" t="s">
        <v>87</v>
      </c>
      <c r="T5" s="8" t="s">
        <v>88</v>
      </c>
      <c r="U5" s="8" t="s">
        <v>89</v>
      </c>
      <c r="V5" s="8" t="s">
        <v>77</v>
      </c>
    </row>
    <row r="6" spans="1:22">
      <c r="A6" s="5">
        <v>2</v>
      </c>
      <c r="B6" s="5" t="s">
        <v>79</v>
      </c>
      <c r="C6" s="5" t="s">
        <v>80</v>
      </c>
      <c r="D6" s="5" t="s">
        <v>59</v>
      </c>
      <c r="E6" s="6">
        <v>251</v>
      </c>
      <c r="F6" s="6">
        <f t="shared" ref="F6:F29" si="0">E6-E5</f>
        <v>79</v>
      </c>
      <c r="G6" s="6">
        <v>0</v>
      </c>
      <c r="H6" s="6">
        <v>100</v>
      </c>
      <c r="I6" s="6">
        <v>0</v>
      </c>
      <c r="J6" s="6">
        <f t="shared" ref="J6:J29" si="1">J5+G6</f>
        <v>0</v>
      </c>
      <c r="K6" s="6">
        <f t="shared" ref="K6:K29" si="2">K5+H6</f>
        <v>150</v>
      </c>
      <c r="L6" s="7" t="s">
        <v>83</v>
      </c>
      <c r="M6" s="7" t="s">
        <v>41</v>
      </c>
      <c r="N6" s="7" t="s">
        <v>90</v>
      </c>
      <c r="P6" s="9" t="s">
        <v>4</v>
      </c>
      <c r="Q6" s="9" t="s">
        <v>281</v>
      </c>
      <c r="R6" s="9" t="s">
        <v>98</v>
      </c>
      <c r="S6" s="9" t="s">
        <v>99</v>
      </c>
      <c r="T6" s="9" t="s">
        <v>282</v>
      </c>
      <c r="U6" s="9" t="s">
        <v>283</v>
      </c>
      <c r="V6" s="9" t="s">
        <v>284</v>
      </c>
    </row>
    <row r="7" spans="1:22">
      <c r="A7" s="5">
        <v>3</v>
      </c>
      <c r="B7" s="5" t="s">
        <v>79</v>
      </c>
      <c r="C7" s="5" t="s">
        <v>80</v>
      </c>
      <c r="D7" s="5" t="s">
        <v>97</v>
      </c>
      <c r="E7" s="6">
        <v>301</v>
      </c>
      <c r="F7" s="6">
        <f t="shared" si="0"/>
        <v>50</v>
      </c>
      <c r="G7" s="6">
        <v>0</v>
      </c>
      <c r="H7" s="6">
        <v>200</v>
      </c>
      <c r="I7" s="6">
        <v>0</v>
      </c>
      <c r="J7" s="6">
        <f t="shared" si="1"/>
        <v>0</v>
      </c>
      <c r="K7" s="6">
        <f t="shared" si="2"/>
        <v>350</v>
      </c>
      <c r="L7" s="7" t="s">
        <v>83</v>
      </c>
      <c r="M7" s="7" t="s">
        <v>41</v>
      </c>
      <c r="N7" s="7" t="s">
        <v>80</v>
      </c>
      <c r="P7" s="10" t="s">
        <v>5</v>
      </c>
      <c r="Q7" s="10" t="s">
        <v>38</v>
      </c>
      <c r="R7" s="10" t="s">
        <v>98</v>
      </c>
      <c r="S7" s="10" t="s">
        <v>99</v>
      </c>
      <c r="T7" s="10" t="s">
        <v>285</v>
      </c>
      <c r="U7" s="10" t="s">
        <v>286</v>
      </c>
      <c r="V7" s="10" t="s">
        <v>287</v>
      </c>
    </row>
    <row r="8" spans="1:22">
      <c r="A8" s="5">
        <v>4</v>
      </c>
      <c r="B8" s="5" t="s">
        <v>79</v>
      </c>
      <c r="C8" s="5" t="s">
        <v>80</v>
      </c>
      <c r="D8" s="5" t="s">
        <v>103</v>
      </c>
      <c r="E8" s="6">
        <v>401</v>
      </c>
      <c r="F8" s="6">
        <f t="shared" si="0"/>
        <v>100</v>
      </c>
      <c r="G8" s="6">
        <v>0</v>
      </c>
      <c r="H8" s="6">
        <v>250</v>
      </c>
      <c r="I8" s="6">
        <v>0</v>
      </c>
      <c r="J8" s="6">
        <f t="shared" si="1"/>
        <v>0</v>
      </c>
      <c r="K8" s="6">
        <f t="shared" si="2"/>
        <v>600</v>
      </c>
      <c r="L8" s="7" t="s">
        <v>83</v>
      </c>
      <c r="M8" s="7" t="s">
        <v>41</v>
      </c>
      <c r="N8" s="7" t="s">
        <v>80</v>
      </c>
      <c r="P8" s="9" t="s">
        <v>6</v>
      </c>
      <c r="Q8" s="9" t="s">
        <v>39</v>
      </c>
      <c r="R8" s="9" t="s">
        <v>98</v>
      </c>
      <c r="S8" s="9" t="s">
        <v>114</v>
      </c>
      <c r="T8" s="9" t="s">
        <v>288</v>
      </c>
      <c r="U8" s="9" t="s">
        <v>289</v>
      </c>
      <c r="V8" s="9" t="s">
        <v>102</v>
      </c>
    </row>
    <row r="9" spans="1:22">
      <c r="A9" s="5">
        <v>5</v>
      </c>
      <c r="B9" s="5" t="s">
        <v>79</v>
      </c>
      <c r="C9" s="5" t="s">
        <v>80</v>
      </c>
      <c r="D9" s="5" t="s">
        <v>107</v>
      </c>
      <c r="E9" s="6">
        <v>501</v>
      </c>
      <c r="F9" s="6">
        <f t="shared" si="0"/>
        <v>100</v>
      </c>
      <c r="G9" s="6">
        <v>0</v>
      </c>
      <c r="H9" s="6">
        <v>300</v>
      </c>
      <c r="I9" s="6">
        <v>0</v>
      </c>
      <c r="J9" s="6">
        <f t="shared" si="1"/>
        <v>0</v>
      </c>
      <c r="K9" s="6">
        <f t="shared" si="2"/>
        <v>900</v>
      </c>
      <c r="L9" s="7" t="s">
        <v>83</v>
      </c>
      <c r="M9" s="7" t="s">
        <v>41</v>
      </c>
      <c r="N9" s="7" t="s">
        <v>80</v>
      </c>
    </row>
    <row r="10" spans="1:22">
      <c r="A10" s="11">
        <v>6</v>
      </c>
      <c r="B10" s="11" t="s">
        <v>37</v>
      </c>
      <c r="C10" s="11" t="s">
        <v>110</v>
      </c>
      <c r="D10" s="11" t="s">
        <v>290</v>
      </c>
      <c r="E10" s="12">
        <v>901</v>
      </c>
      <c r="F10" s="12">
        <f t="shared" si="0"/>
        <v>400</v>
      </c>
      <c r="G10" s="12">
        <v>20</v>
      </c>
      <c r="H10" s="12">
        <v>1000</v>
      </c>
      <c r="I10" s="12">
        <v>1</v>
      </c>
      <c r="J10" s="12">
        <f t="shared" si="1"/>
        <v>20</v>
      </c>
      <c r="K10" s="12">
        <f t="shared" si="2"/>
        <v>1900</v>
      </c>
      <c r="L10" s="13" t="s">
        <v>291</v>
      </c>
      <c r="M10" s="13" t="s">
        <v>41</v>
      </c>
      <c r="N10" s="13" t="s">
        <v>113</v>
      </c>
    </row>
    <row r="11" spans="1:22">
      <c r="A11" s="11">
        <v>7</v>
      </c>
      <c r="B11" s="11" t="s">
        <v>37</v>
      </c>
      <c r="C11" s="11" t="s">
        <v>110</v>
      </c>
      <c r="D11" s="11" t="s">
        <v>292</v>
      </c>
      <c r="E11" s="12">
        <v>1501</v>
      </c>
      <c r="F11" s="12">
        <f t="shared" si="0"/>
        <v>600</v>
      </c>
      <c r="G11" s="12">
        <v>50</v>
      </c>
      <c r="H11" s="12">
        <v>1500</v>
      </c>
      <c r="I11" s="12">
        <v>0</v>
      </c>
      <c r="J11" s="12">
        <f t="shared" si="1"/>
        <v>70</v>
      </c>
      <c r="K11" s="12">
        <f t="shared" si="2"/>
        <v>3400</v>
      </c>
      <c r="L11" s="13" t="s">
        <v>293</v>
      </c>
      <c r="M11" s="13" t="s">
        <v>41</v>
      </c>
      <c r="N11" s="13" t="s">
        <v>80</v>
      </c>
    </row>
    <row r="12" spans="1:22">
      <c r="A12" s="11">
        <v>8</v>
      </c>
      <c r="B12" s="11" t="s">
        <v>37</v>
      </c>
      <c r="C12" s="11" t="s">
        <v>110</v>
      </c>
      <c r="D12" s="11" t="s">
        <v>294</v>
      </c>
      <c r="E12" s="12">
        <v>2101</v>
      </c>
      <c r="F12" s="12">
        <f t="shared" si="0"/>
        <v>600</v>
      </c>
      <c r="G12" s="12">
        <v>200</v>
      </c>
      <c r="H12" s="12">
        <v>2000</v>
      </c>
      <c r="I12" s="12">
        <v>0</v>
      </c>
      <c r="J12" s="12">
        <f t="shared" si="1"/>
        <v>270</v>
      </c>
      <c r="K12" s="12">
        <f t="shared" si="2"/>
        <v>5400</v>
      </c>
      <c r="L12" s="13" t="s">
        <v>295</v>
      </c>
      <c r="M12" s="13" t="s">
        <v>41</v>
      </c>
      <c r="N12" s="13" t="s">
        <v>80</v>
      </c>
    </row>
    <row r="13" spans="1:22">
      <c r="A13" s="11">
        <v>9</v>
      </c>
      <c r="B13" s="11" t="s">
        <v>37</v>
      </c>
      <c r="C13" s="11" t="s">
        <v>110</v>
      </c>
      <c r="D13" s="11" t="s">
        <v>296</v>
      </c>
      <c r="E13" s="12">
        <v>3901</v>
      </c>
      <c r="F13" s="12">
        <f t="shared" si="0"/>
        <v>1800</v>
      </c>
      <c r="G13" s="12">
        <v>500</v>
      </c>
      <c r="H13" s="12">
        <v>2500</v>
      </c>
      <c r="I13" s="12">
        <v>0</v>
      </c>
      <c r="J13" s="12">
        <f t="shared" si="1"/>
        <v>770</v>
      </c>
      <c r="K13" s="12">
        <f t="shared" si="2"/>
        <v>7900</v>
      </c>
      <c r="L13" s="13" t="s">
        <v>297</v>
      </c>
      <c r="M13" s="13" t="s">
        <v>41</v>
      </c>
      <c r="N13" s="13" t="s">
        <v>80</v>
      </c>
    </row>
    <row r="14" spans="1:22">
      <c r="A14" s="11">
        <v>10</v>
      </c>
      <c r="B14" s="11" t="s">
        <v>37</v>
      </c>
      <c r="C14" s="11" t="s">
        <v>110</v>
      </c>
      <c r="D14" s="11" t="s">
        <v>298</v>
      </c>
      <c r="E14" s="12">
        <v>6101</v>
      </c>
      <c r="F14" s="12">
        <f t="shared" si="0"/>
        <v>2200</v>
      </c>
      <c r="G14" s="12">
        <v>1000</v>
      </c>
      <c r="H14" s="12">
        <v>3000</v>
      </c>
      <c r="I14" s="12">
        <v>0</v>
      </c>
      <c r="J14" s="12">
        <f t="shared" si="1"/>
        <v>1770</v>
      </c>
      <c r="K14" s="12">
        <f t="shared" si="2"/>
        <v>10900</v>
      </c>
      <c r="L14" s="13" t="s">
        <v>299</v>
      </c>
      <c r="M14" s="13" t="s">
        <v>41</v>
      </c>
      <c r="N14" s="13" t="s">
        <v>80</v>
      </c>
    </row>
    <row r="15" ht="28.5" spans="1:22">
      <c r="A15" s="14">
        <v>11</v>
      </c>
      <c r="B15" s="14" t="s">
        <v>38</v>
      </c>
      <c r="C15" s="14" t="s">
        <v>125</v>
      </c>
      <c r="D15" s="14" t="s">
        <v>300</v>
      </c>
      <c r="E15" s="15">
        <v>12101</v>
      </c>
      <c r="F15" s="15">
        <f t="shared" si="0"/>
        <v>6000</v>
      </c>
      <c r="G15" s="15">
        <v>1000</v>
      </c>
      <c r="H15" s="15">
        <v>20000</v>
      </c>
      <c r="I15" s="15">
        <v>1</v>
      </c>
      <c r="J15" s="15">
        <f t="shared" si="1"/>
        <v>2770</v>
      </c>
      <c r="K15" s="15">
        <f t="shared" si="2"/>
        <v>30900</v>
      </c>
      <c r="L15" s="16" t="s">
        <v>301</v>
      </c>
      <c r="M15" s="16" t="s">
        <v>41</v>
      </c>
      <c r="N15" s="16" t="s">
        <v>128</v>
      </c>
    </row>
    <row r="16" ht="28.5" spans="1:22">
      <c r="A16" s="14">
        <v>12</v>
      </c>
      <c r="B16" s="14" t="s">
        <v>38</v>
      </c>
      <c r="C16" s="14" t="s">
        <v>125</v>
      </c>
      <c r="D16" s="14" t="s">
        <v>302</v>
      </c>
      <c r="E16" s="15">
        <v>35101</v>
      </c>
      <c r="F16" s="15">
        <f t="shared" si="0"/>
        <v>23000</v>
      </c>
      <c r="G16" s="15">
        <v>2000</v>
      </c>
      <c r="H16" s="15">
        <v>40000</v>
      </c>
      <c r="I16" s="15">
        <v>0</v>
      </c>
      <c r="J16" s="15">
        <f t="shared" si="1"/>
        <v>4770</v>
      </c>
      <c r="K16" s="15">
        <f t="shared" si="2"/>
        <v>70900</v>
      </c>
      <c r="L16" s="16" t="s">
        <v>303</v>
      </c>
      <c r="M16" s="16" t="s">
        <v>41</v>
      </c>
      <c r="N16" s="16" t="s">
        <v>80</v>
      </c>
    </row>
    <row r="17" ht="28.5" spans="1:14">
      <c r="A17" s="14">
        <v>13</v>
      </c>
      <c r="B17" s="14" t="s">
        <v>38</v>
      </c>
      <c r="C17" s="14" t="s">
        <v>125</v>
      </c>
      <c r="D17" s="14" t="s">
        <v>304</v>
      </c>
      <c r="E17" s="15">
        <v>50101</v>
      </c>
      <c r="F17" s="15">
        <f t="shared" si="0"/>
        <v>15000</v>
      </c>
      <c r="G17" s="15">
        <v>5000</v>
      </c>
      <c r="H17" s="15">
        <v>60000</v>
      </c>
      <c r="I17" s="15">
        <v>0</v>
      </c>
      <c r="J17" s="15">
        <f t="shared" si="1"/>
        <v>9770</v>
      </c>
      <c r="K17" s="15">
        <f t="shared" si="2"/>
        <v>130900</v>
      </c>
      <c r="L17" s="16" t="s">
        <v>305</v>
      </c>
      <c r="M17" s="16" t="s">
        <v>41</v>
      </c>
      <c r="N17" s="16" t="s">
        <v>80</v>
      </c>
    </row>
    <row r="18" ht="28.5" spans="1:14">
      <c r="A18" s="14">
        <v>14</v>
      </c>
      <c r="B18" s="14" t="s">
        <v>38</v>
      </c>
      <c r="C18" s="14" t="s">
        <v>125</v>
      </c>
      <c r="D18" s="14" t="s">
        <v>306</v>
      </c>
      <c r="E18" s="15">
        <v>75101</v>
      </c>
      <c r="F18" s="15">
        <f t="shared" si="0"/>
        <v>25000</v>
      </c>
      <c r="G18" s="15">
        <v>10000</v>
      </c>
      <c r="H18" s="15">
        <v>100000</v>
      </c>
      <c r="I18" s="15">
        <v>0</v>
      </c>
      <c r="J18" s="15">
        <f t="shared" si="1"/>
        <v>19770</v>
      </c>
      <c r="K18" s="15">
        <f t="shared" si="2"/>
        <v>230900</v>
      </c>
      <c r="L18" s="16" t="s">
        <v>307</v>
      </c>
      <c r="M18" s="16" t="s">
        <v>41</v>
      </c>
      <c r="N18" s="16" t="s">
        <v>80</v>
      </c>
    </row>
    <row r="19" ht="28.5" spans="1:14">
      <c r="A19" s="14">
        <v>15</v>
      </c>
      <c r="B19" s="14" t="s">
        <v>38</v>
      </c>
      <c r="C19" s="14" t="s">
        <v>125</v>
      </c>
      <c r="D19" s="14" t="s">
        <v>308</v>
      </c>
      <c r="E19" s="15">
        <v>108101</v>
      </c>
      <c r="F19" s="15">
        <f t="shared" si="0"/>
        <v>33000</v>
      </c>
      <c r="G19" s="15">
        <v>20000</v>
      </c>
      <c r="H19" s="15">
        <v>100000</v>
      </c>
      <c r="I19" s="15">
        <v>0</v>
      </c>
      <c r="J19" s="15">
        <f t="shared" si="1"/>
        <v>39770</v>
      </c>
      <c r="K19" s="15">
        <f t="shared" si="2"/>
        <v>330900</v>
      </c>
      <c r="L19" s="16" t="s">
        <v>309</v>
      </c>
      <c r="M19" s="16" t="s">
        <v>41</v>
      </c>
      <c r="N19" s="16" t="s">
        <v>80</v>
      </c>
    </row>
    <row r="20" ht="42.75" spans="1:14">
      <c r="A20" s="17">
        <v>16</v>
      </c>
      <c r="B20" s="30" t="s">
        <v>39</v>
      </c>
      <c r="C20" s="17" t="s">
        <v>137</v>
      </c>
      <c r="D20" s="17" t="s">
        <v>310</v>
      </c>
      <c r="E20" s="18">
        <v>308101</v>
      </c>
      <c r="F20" s="18">
        <f t="shared" si="0"/>
        <v>200000</v>
      </c>
      <c r="G20" s="18">
        <v>30000</v>
      </c>
      <c r="H20" s="18">
        <v>200000</v>
      </c>
      <c r="I20" s="18">
        <v>2</v>
      </c>
      <c r="J20" s="18">
        <f t="shared" si="1"/>
        <v>69770</v>
      </c>
      <c r="K20" s="18">
        <f t="shared" si="2"/>
        <v>530900</v>
      </c>
      <c r="L20" s="19" t="s">
        <v>311</v>
      </c>
      <c r="M20" s="19" t="s">
        <v>41</v>
      </c>
      <c r="N20" s="19" t="s">
        <v>140</v>
      </c>
    </row>
    <row r="21" ht="42.75" spans="1:14">
      <c r="A21" s="17">
        <v>17</v>
      </c>
      <c r="B21" s="17" t="s">
        <v>39</v>
      </c>
      <c r="C21" s="17" t="s">
        <v>137</v>
      </c>
      <c r="D21" s="17" t="s">
        <v>312</v>
      </c>
      <c r="E21" s="18">
        <v>508101</v>
      </c>
      <c r="F21" s="18">
        <f t="shared" si="0"/>
        <v>200000</v>
      </c>
      <c r="G21" s="18">
        <v>60000</v>
      </c>
      <c r="H21" s="18">
        <v>200000</v>
      </c>
      <c r="I21" s="18">
        <v>0</v>
      </c>
      <c r="J21" s="18">
        <f t="shared" si="1"/>
        <v>129770</v>
      </c>
      <c r="K21" s="18">
        <f t="shared" si="2"/>
        <v>730900</v>
      </c>
      <c r="L21" s="19" t="s">
        <v>311</v>
      </c>
      <c r="M21" s="19" t="s">
        <v>41</v>
      </c>
      <c r="N21" s="19" t="s">
        <v>80</v>
      </c>
    </row>
    <row r="22" ht="42.75" spans="1:14">
      <c r="A22" s="17">
        <v>18</v>
      </c>
      <c r="B22" s="17" t="s">
        <v>39</v>
      </c>
      <c r="C22" s="17" t="s">
        <v>137</v>
      </c>
      <c r="D22" s="17" t="s">
        <v>313</v>
      </c>
      <c r="E22" s="18">
        <v>808101</v>
      </c>
      <c r="F22" s="18">
        <f t="shared" si="0"/>
        <v>300000</v>
      </c>
      <c r="G22" s="18">
        <v>90000</v>
      </c>
      <c r="H22" s="18">
        <v>200000</v>
      </c>
      <c r="I22" s="18">
        <v>0</v>
      </c>
      <c r="J22" s="18">
        <f t="shared" si="1"/>
        <v>219770</v>
      </c>
      <c r="K22" s="18">
        <f t="shared" si="2"/>
        <v>930900</v>
      </c>
      <c r="L22" s="19" t="s">
        <v>311</v>
      </c>
      <c r="M22" s="19" t="s">
        <v>41</v>
      </c>
      <c r="N22" s="19" t="s">
        <v>80</v>
      </c>
    </row>
    <row r="23" ht="42.75" spans="1:14">
      <c r="A23" s="17">
        <v>19</v>
      </c>
      <c r="B23" s="17" t="s">
        <v>39</v>
      </c>
      <c r="C23" s="17" t="s">
        <v>137</v>
      </c>
      <c r="D23" s="17" t="s">
        <v>314</v>
      </c>
      <c r="E23" s="18">
        <v>1008101</v>
      </c>
      <c r="F23" s="18">
        <f t="shared" si="0"/>
        <v>200000</v>
      </c>
      <c r="G23" s="18">
        <v>120000</v>
      </c>
      <c r="H23" s="18">
        <v>200000</v>
      </c>
      <c r="I23" s="18">
        <v>0</v>
      </c>
      <c r="J23" s="18">
        <f t="shared" si="1"/>
        <v>339770</v>
      </c>
      <c r="K23" s="18">
        <f t="shared" si="2"/>
        <v>1130900</v>
      </c>
      <c r="L23" s="19" t="s">
        <v>311</v>
      </c>
      <c r="M23" s="19" t="s">
        <v>41</v>
      </c>
      <c r="N23" s="19" t="s">
        <v>80</v>
      </c>
    </row>
    <row r="24" ht="42.75" spans="1:14">
      <c r="A24" s="17">
        <v>20</v>
      </c>
      <c r="B24" s="17" t="s">
        <v>39</v>
      </c>
      <c r="C24" s="17" t="s">
        <v>137</v>
      </c>
      <c r="D24" s="17" t="s">
        <v>315</v>
      </c>
      <c r="E24" s="18">
        <v>1508101</v>
      </c>
      <c r="F24" s="18">
        <f t="shared" si="0"/>
        <v>500000</v>
      </c>
      <c r="G24" s="18">
        <v>150000</v>
      </c>
      <c r="H24" s="18">
        <v>200000</v>
      </c>
      <c r="I24" s="18">
        <v>0</v>
      </c>
      <c r="J24" s="18">
        <f t="shared" si="1"/>
        <v>489770</v>
      </c>
      <c r="K24" s="18">
        <f t="shared" si="2"/>
        <v>1330900</v>
      </c>
      <c r="L24" s="19" t="s">
        <v>311</v>
      </c>
      <c r="M24" s="19" t="s">
        <v>41</v>
      </c>
      <c r="N24" s="19" t="s">
        <v>80</v>
      </c>
    </row>
    <row r="25" ht="42.75" spans="1:14">
      <c r="A25" s="17">
        <v>21</v>
      </c>
      <c r="B25" s="17" t="s">
        <v>39</v>
      </c>
      <c r="C25" s="17" t="s">
        <v>146</v>
      </c>
      <c r="D25" s="17" t="s">
        <v>316</v>
      </c>
      <c r="E25" s="18">
        <v>2008101</v>
      </c>
      <c r="F25" s="18">
        <f t="shared" si="0"/>
        <v>500000</v>
      </c>
      <c r="G25" s="18">
        <v>200000</v>
      </c>
      <c r="H25" s="18">
        <v>400000</v>
      </c>
      <c r="I25" s="18">
        <v>0</v>
      </c>
      <c r="J25" s="18">
        <f t="shared" si="1"/>
        <v>689770</v>
      </c>
      <c r="K25" s="18">
        <f t="shared" si="2"/>
        <v>1730900</v>
      </c>
      <c r="L25" s="19" t="s">
        <v>311</v>
      </c>
      <c r="M25" s="19" t="s">
        <v>41</v>
      </c>
      <c r="N25" s="19" t="s">
        <v>148</v>
      </c>
    </row>
    <row r="26" ht="42.75" spans="1:14">
      <c r="A26" s="17">
        <v>22</v>
      </c>
      <c r="B26" s="17" t="s">
        <v>39</v>
      </c>
      <c r="C26" s="17" t="s">
        <v>146</v>
      </c>
      <c r="D26" s="17" t="s">
        <v>317</v>
      </c>
      <c r="E26" s="18">
        <v>3008101</v>
      </c>
      <c r="F26" s="18">
        <f t="shared" si="0"/>
        <v>1000000</v>
      </c>
      <c r="G26" s="18">
        <v>250000</v>
      </c>
      <c r="H26" s="18">
        <v>500000</v>
      </c>
      <c r="I26" s="18">
        <v>0</v>
      </c>
      <c r="J26" s="18">
        <f t="shared" si="1"/>
        <v>939770</v>
      </c>
      <c r="K26" s="18">
        <f t="shared" si="2"/>
        <v>2230900</v>
      </c>
      <c r="L26" s="19" t="s">
        <v>311</v>
      </c>
      <c r="M26" s="19" t="s">
        <v>41</v>
      </c>
      <c r="N26" s="19" t="s">
        <v>80</v>
      </c>
    </row>
    <row r="27" ht="42.75" spans="1:14">
      <c r="A27" s="17">
        <v>23</v>
      </c>
      <c r="B27" s="17" t="s">
        <v>39</v>
      </c>
      <c r="C27" s="17" t="s">
        <v>146</v>
      </c>
      <c r="D27" s="17" t="s">
        <v>318</v>
      </c>
      <c r="E27" s="18">
        <v>4008101</v>
      </c>
      <c r="F27" s="18">
        <f t="shared" si="0"/>
        <v>1000000</v>
      </c>
      <c r="G27" s="18">
        <v>300000</v>
      </c>
      <c r="H27" s="18">
        <v>600000</v>
      </c>
      <c r="I27" s="18">
        <v>0</v>
      </c>
      <c r="J27" s="18">
        <f t="shared" si="1"/>
        <v>1239770</v>
      </c>
      <c r="K27" s="18">
        <f t="shared" si="2"/>
        <v>2830900</v>
      </c>
      <c r="L27" s="19" t="s">
        <v>311</v>
      </c>
      <c r="M27" s="19" t="s">
        <v>41</v>
      </c>
      <c r="N27" s="19" t="s">
        <v>80</v>
      </c>
    </row>
    <row r="28" ht="42.75" spans="1:14">
      <c r="A28" s="17">
        <v>24</v>
      </c>
      <c r="B28" s="17" t="s">
        <v>39</v>
      </c>
      <c r="C28" s="17" t="s">
        <v>146</v>
      </c>
      <c r="D28" s="17" t="s">
        <v>319</v>
      </c>
      <c r="E28" s="18">
        <v>5008101</v>
      </c>
      <c r="F28" s="18">
        <f t="shared" si="0"/>
        <v>1000000</v>
      </c>
      <c r="G28" s="18">
        <v>350000</v>
      </c>
      <c r="H28" s="18">
        <v>700000</v>
      </c>
      <c r="I28" s="18">
        <v>0</v>
      </c>
      <c r="J28" s="18">
        <f t="shared" si="1"/>
        <v>1589770</v>
      </c>
      <c r="K28" s="18">
        <f t="shared" si="2"/>
        <v>3530900</v>
      </c>
      <c r="L28" s="19" t="s">
        <v>311</v>
      </c>
      <c r="M28" s="19" t="s">
        <v>41</v>
      </c>
      <c r="N28" s="19" t="s">
        <v>80</v>
      </c>
    </row>
    <row r="29" ht="42.75" spans="1:14">
      <c r="A29" s="17">
        <v>25</v>
      </c>
      <c r="B29" s="17" t="s">
        <v>39</v>
      </c>
      <c r="C29" s="17" t="s">
        <v>146</v>
      </c>
      <c r="D29" s="17" t="s">
        <v>320</v>
      </c>
      <c r="E29" s="18">
        <v>6008101</v>
      </c>
      <c r="F29" s="18">
        <f t="shared" si="0"/>
        <v>1000000</v>
      </c>
      <c r="G29" s="18">
        <v>400000</v>
      </c>
      <c r="H29" s="18">
        <v>800000</v>
      </c>
      <c r="I29" s="18">
        <v>0</v>
      </c>
      <c r="J29" s="18">
        <f t="shared" si="1"/>
        <v>1989770</v>
      </c>
      <c r="K29" s="18">
        <f t="shared" si="2"/>
        <v>4330900</v>
      </c>
      <c r="L29" s="19" t="s">
        <v>311</v>
      </c>
      <c r="M29" s="19" t="s">
        <v>41</v>
      </c>
      <c r="N29" s="19" t="s">
        <v>80</v>
      </c>
    </row>
    <row r="31" ht="32" customHeight="1" spans="1:14">
      <c r="A31" s="20" t="s">
        <v>154</v>
      </c>
      <c r="B31" s="20"/>
      <c r="C31" s="20"/>
      <c r="D31" s="20"/>
      <c r="E31" s="20"/>
      <c r="F31" s="20"/>
      <c r="G31" s="21">
        <f>SUM(G5:G29)</f>
        <v>1989770</v>
      </c>
      <c r="H31" s="21">
        <f>SUM(H5:H29)</f>
        <v>4330900</v>
      </c>
      <c r="I31" s="21">
        <f>SUM(I5:I29)</f>
        <v>4</v>
      </c>
      <c r="J31" s="20" t="s">
        <v>155</v>
      </c>
      <c r="K31" s="20"/>
      <c r="L31" s="20"/>
      <c r="M31" s="20"/>
      <c r="N31" s="20"/>
    </row>
    <row r="34" ht="28" customHeight="1" spans="1:7">
      <c r="A34" s="33"/>
      <c r="B34" s="33"/>
      <c r="C34" s="33"/>
      <c r="D34" s="33"/>
      <c r="E34" s="33"/>
      <c r="F34" s="33"/>
      <c r="G34" s="33"/>
    </row>
    <row r="35" ht="15" spans="1:7">
      <c r="A35" s="22"/>
      <c r="B35" s="22"/>
      <c r="C35" s="22"/>
      <c r="D35" s="22"/>
      <c r="E35" s="22"/>
      <c r="F35" s="22"/>
      <c r="G35" s="22"/>
    </row>
    <row r="36" spans="1:7">
      <c r="A36" s="23"/>
      <c r="B36" s="23"/>
      <c r="C36" s="23"/>
      <c r="D36" s="23"/>
      <c r="E36" s="23"/>
      <c r="F36" s="23"/>
      <c r="G36" s="23"/>
    </row>
    <row r="37" spans="1:7">
      <c r="A37" s="24"/>
      <c r="B37" s="24"/>
      <c r="C37" s="24"/>
      <c r="D37" s="24"/>
      <c r="E37" s="24"/>
      <c r="F37" s="24"/>
      <c r="G37" s="24"/>
    </row>
    <row r="38" spans="1:7">
      <c r="A38" s="23"/>
      <c r="B38" s="23"/>
      <c r="C38" s="23"/>
      <c r="D38" s="23"/>
      <c r="E38" s="23"/>
      <c r="F38" s="23"/>
      <c r="G38" s="23"/>
    </row>
  </sheetData>
  <mergeCells count="6">
    <mergeCell ref="A1:N1"/>
    <mergeCell ref="A2:N2"/>
    <mergeCell ref="P4:V4"/>
    <mergeCell ref="A31:F31"/>
    <mergeCell ref="J31:N31"/>
    <mergeCell ref="A34:G3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"/>
  <sheetViews>
    <sheetView topLeftCell="A12" workbookViewId="0">
      <selection activeCell="L25" sqref="L25"/>
    </sheetView>
  </sheetViews>
  <sheetFormatPr defaultColWidth="9" defaultRowHeight="14.25"/>
  <cols>
    <col min="1" max="1" width="8" customWidth="1"/>
    <col min="2" max="2" width="16" customWidth="1"/>
    <col min="3" max="3" width="9" customWidth="1"/>
    <col min="4" max="4" width="25" customWidth="1"/>
    <col min="5" max="5" width="16" customWidth="1"/>
    <col min="6" max="8" width="17" customWidth="1"/>
    <col min="9" max="9" width="12" customWidth="1"/>
    <col min="10" max="11" width="16" customWidth="1"/>
    <col min="12" max="12" width="58" customWidth="1"/>
    <col min="13" max="13" width="16" customWidth="1"/>
    <col min="14" max="14" width="38" customWidth="1"/>
    <col min="16" max="16" width="15" customWidth="1"/>
    <col min="17" max="17" width="20" customWidth="1"/>
    <col min="18" max="18" width="16" customWidth="1"/>
    <col min="19" max="19" width="18" customWidth="1"/>
    <col min="20" max="20" width="65" customWidth="1"/>
    <col min="21" max="21" width="40" customWidth="1"/>
    <col min="22" max="22" width="44" customWidth="1"/>
  </cols>
  <sheetData>
    <row r="1" ht="32" customHeight="1" spans="1:22">
      <c r="A1" s="25" t="s">
        <v>42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ht="42" customHeight="1" spans="1:22">
      <c r="A2" s="2" t="s">
        <v>321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0" customHeight="1" spans="1:22">
      <c r="A4" s="3" t="s">
        <v>2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</v>
      </c>
      <c r="N4" s="3" t="s">
        <v>77</v>
      </c>
      <c r="P4" s="26" t="s">
        <v>78</v>
      </c>
      <c r="Q4" s="26"/>
      <c r="R4" s="26"/>
      <c r="S4" s="26"/>
      <c r="T4" s="26"/>
      <c r="U4" s="26"/>
      <c r="V4" s="26"/>
    </row>
    <row r="5" ht="30" customHeight="1" spans="1:22">
      <c r="A5" s="5">
        <v>1</v>
      </c>
      <c r="B5" s="5" t="s">
        <v>79</v>
      </c>
      <c r="C5" s="5" t="s">
        <v>80</v>
      </c>
      <c r="D5" s="5" t="s">
        <v>81</v>
      </c>
      <c r="E5" s="6">
        <v>172</v>
      </c>
      <c r="F5" s="6" t="s">
        <v>82</v>
      </c>
      <c r="G5" s="6">
        <v>0</v>
      </c>
      <c r="H5" s="6">
        <v>50</v>
      </c>
      <c r="I5" s="6">
        <v>0</v>
      </c>
      <c r="J5" s="6">
        <f>G5</f>
        <v>0</v>
      </c>
      <c r="K5" s="6">
        <f>H5</f>
        <v>50</v>
      </c>
      <c r="L5" s="7" t="s">
        <v>83</v>
      </c>
      <c r="M5" s="7" t="s">
        <v>47</v>
      </c>
      <c r="N5" s="7" t="s">
        <v>84</v>
      </c>
      <c r="P5" s="8" t="s">
        <v>66</v>
      </c>
      <c r="Q5" s="8" t="s">
        <v>85</v>
      </c>
      <c r="R5" s="8" t="s">
        <v>86</v>
      </c>
      <c r="S5" s="8" t="s">
        <v>87</v>
      </c>
      <c r="T5" s="8" t="s">
        <v>88</v>
      </c>
      <c r="U5" s="8" t="s">
        <v>89</v>
      </c>
      <c r="V5" s="8" t="s">
        <v>77</v>
      </c>
    </row>
    <row r="6" spans="1:22">
      <c r="A6" s="5">
        <v>2</v>
      </c>
      <c r="B6" s="5" t="s">
        <v>79</v>
      </c>
      <c r="C6" s="5" t="s">
        <v>80</v>
      </c>
      <c r="D6" s="5" t="s">
        <v>59</v>
      </c>
      <c r="E6" s="6">
        <v>251</v>
      </c>
      <c r="F6" s="6">
        <f t="shared" ref="F6:F29" si="0">E6-E5</f>
        <v>79</v>
      </c>
      <c r="G6" s="6">
        <v>0</v>
      </c>
      <c r="H6" s="6">
        <v>100</v>
      </c>
      <c r="I6" s="6">
        <v>0</v>
      </c>
      <c r="J6" s="6">
        <f t="shared" ref="J6:J29" si="1">J5+G6</f>
        <v>0</v>
      </c>
      <c r="K6" s="6">
        <f t="shared" ref="K6:K29" si="2">K5+H6</f>
        <v>150</v>
      </c>
      <c r="L6" s="7" t="s">
        <v>83</v>
      </c>
      <c r="M6" s="7" t="s">
        <v>47</v>
      </c>
      <c r="N6" s="7" t="s">
        <v>90</v>
      </c>
      <c r="P6" s="9" t="s">
        <v>4</v>
      </c>
      <c r="Q6" s="9" t="s">
        <v>322</v>
      </c>
      <c r="R6" s="9" t="s">
        <v>92</v>
      </c>
      <c r="S6" s="9" t="s">
        <v>323</v>
      </c>
      <c r="T6" s="9" t="s">
        <v>324</v>
      </c>
      <c r="U6" s="9" t="s">
        <v>325</v>
      </c>
      <c r="V6" s="9" t="s">
        <v>326</v>
      </c>
    </row>
    <row r="7" spans="1:22">
      <c r="A7" s="5">
        <v>3</v>
      </c>
      <c r="B7" s="5" t="s">
        <v>79</v>
      </c>
      <c r="C7" s="5" t="s">
        <v>80</v>
      </c>
      <c r="D7" s="5" t="s">
        <v>97</v>
      </c>
      <c r="E7" s="6">
        <v>301</v>
      </c>
      <c r="F7" s="6">
        <f t="shared" si="0"/>
        <v>50</v>
      </c>
      <c r="G7" s="6">
        <v>0</v>
      </c>
      <c r="H7" s="6">
        <v>200</v>
      </c>
      <c r="I7" s="6">
        <v>0</v>
      </c>
      <c r="J7" s="6">
        <f t="shared" si="1"/>
        <v>0</v>
      </c>
      <c r="K7" s="6">
        <f t="shared" si="2"/>
        <v>350</v>
      </c>
      <c r="L7" s="7" t="s">
        <v>83</v>
      </c>
      <c r="M7" s="7" t="s">
        <v>47</v>
      </c>
      <c r="N7" s="7" t="s">
        <v>80</v>
      </c>
      <c r="P7" s="10" t="s">
        <v>4</v>
      </c>
      <c r="Q7" s="10" t="s">
        <v>322</v>
      </c>
      <c r="R7" s="10" t="s">
        <v>98</v>
      </c>
      <c r="S7" s="10" t="s">
        <v>99</v>
      </c>
      <c r="T7" s="10" t="s">
        <v>327</v>
      </c>
      <c r="U7" s="10" t="s">
        <v>328</v>
      </c>
      <c r="V7" s="10" t="s">
        <v>329</v>
      </c>
    </row>
    <row r="8" spans="1:22">
      <c r="A8" s="5">
        <v>4</v>
      </c>
      <c r="B8" s="5" t="s">
        <v>79</v>
      </c>
      <c r="C8" s="5" t="s">
        <v>80</v>
      </c>
      <c r="D8" s="5" t="s">
        <v>103</v>
      </c>
      <c r="E8" s="6">
        <v>401</v>
      </c>
      <c r="F8" s="6">
        <f t="shared" si="0"/>
        <v>100</v>
      </c>
      <c r="G8" s="6">
        <v>0</v>
      </c>
      <c r="H8" s="6">
        <v>250</v>
      </c>
      <c r="I8" s="6">
        <v>0</v>
      </c>
      <c r="J8" s="6">
        <f t="shared" si="1"/>
        <v>0</v>
      </c>
      <c r="K8" s="6">
        <f t="shared" si="2"/>
        <v>600</v>
      </c>
      <c r="L8" s="7" t="s">
        <v>83</v>
      </c>
      <c r="M8" s="7" t="s">
        <v>47</v>
      </c>
      <c r="N8" s="7" t="s">
        <v>80</v>
      </c>
      <c r="P8" s="9" t="s">
        <v>5</v>
      </c>
      <c r="Q8" s="9" t="s">
        <v>44</v>
      </c>
      <c r="R8" s="9" t="s">
        <v>92</v>
      </c>
      <c r="S8" s="9" t="s">
        <v>93</v>
      </c>
      <c r="T8" s="9" t="s">
        <v>330</v>
      </c>
      <c r="U8" s="9" t="s">
        <v>331</v>
      </c>
      <c r="V8" s="9" t="s">
        <v>96</v>
      </c>
    </row>
    <row r="9" ht="27.75" spans="1:22">
      <c r="A9" s="5">
        <v>5</v>
      </c>
      <c r="B9" s="5" t="s">
        <v>79</v>
      </c>
      <c r="C9" s="5" t="s">
        <v>80</v>
      </c>
      <c r="D9" s="5" t="s">
        <v>107</v>
      </c>
      <c r="E9" s="6">
        <v>501</v>
      </c>
      <c r="F9" s="6">
        <f t="shared" si="0"/>
        <v>100</v>
      </c>
      <c r="G9" s="6">
        <v>0</v>
      </c>
      <c r="H9" s="6">
        <v>300</v>
      </c>
      <c r="I9" s="6">
        <v>0</v>
      </c>
      <c r="J9" s="6">
        <f t="shared" si="1"/>
        <v>0</v>
      </c>
      <c r="K9" s="6">
        <f t="shared" si="2"/>
        <v>900</v>
      </c>
      <c r="L9" s="7" t="s">
        <v>83</v>
      </c>
      <c r="M9" s="7" t="s">
        <v>47</v>
      </c>
      <c r="N9" s="7" t="s">
        <v>80</v>
      </c>
      <c r="P9" s="10" t="s">
        <v>5</v>
      </c>
      <c r="Q9" s="10" t="s">
        <v>44</v>
      </c>
      <c r="R9" s="10" t="s">
        <v>98</v>
      </c>
      <c r="S9" s="10" t="s">
        <v>99</v>
      </c>
      <c r="T9" s="10" t="s">
        <v>332</v>
      </c>
      <c r="U9" s="10" t="s">
        <v>333</v>
      </c>
      <c r="V9" s="10" t="s">
        <v>334</v>
      </c>
    </row>
    <row r="10" spans="1:22">
      <c r="A10" s="11">
        <v>6</v>
      </c>
      <c r="B10" s="11" t="s">
        <v>43</v>
      </c>
      <c r="C10" s="11" t="s">
        <v>110</v>
      </c>
      <c r="D10" s="11" t="s">
        <v>335</v>
      </c>
      <c r="E10" s="12">
        <v>901</v>
      </c>
      <c r="F10" s="12">
        <f t="shared" si="0"/>
        <v>400</v>
      </c>
      <c r="G10" s="12">
        <v>20</v>
      </c>
      <c r="H10" s="12">
        <v>1000</v>
      </c>
      <c r="I10" s="12">
        <v>1</v>
      </c>
      <c r="J10" s="12">
        <f t="shared" si="1"/>
        <v>20</v>
      </c>
      <c r="K10" s="12">
        <f t="shared" si="2"/>
        <v>1900</v>
      </c>
      <c r="L10" s="27" t="s">
        <v>336</v>
      </c>
      <c r="M10" s="13" t="s">
        <v>47</v>
      </c>
      <c r="N10" s="13" t="s">
        <v>113</v>
      </c>
      <c r="P10" s="9" t="s">
        <v>6</v>
      </c>
      <c r="Q10" s="9" t="s">
        <v>45</v>
      </c>
      <c r="R10" s="9" t="s">
        <v>98</v>
      </c>
      <c r="S10" s="9" t="s">
        <v>114</v>
      </c>
      <c r="T10" s="9" t="s">
        <v>337</v>
      </c>
      <c r="U10" s="9" t="s">
        <v>338</v>
      </c>
      <c r="V10" s="9" t="s">
        <v>102</v>
      </c>
    </row>
    <row r="11" spans="1:22">
      <c r="A11" s="11">
        <v>7</v>
      </c>
      <c r="B11" s="11" t="s">
        <v>43</v>
      </c>
      <c r="C11" s="11" t="s">
        <v>110</v>
      </c>
      <c r="D11" s="11" t="s">
        <v>339</v>
      </c>
      <c r="E11" s="12">
        <v>1501</v>
      </c>
      <c r="F11" s="12">
        <f t="shared" si="0"/>
        <v>600</v>
      </c>
      <c r="G11" s="12">
        <v>50</v>
      </c>
      <c r="H11" s="12">
        <v>1500</v>
      </c>
      <c r="I11" s="12">
        <v>0</v>
      </c>
      <c r="J11" s="12">
        <f t="shared" si="1"/>
        <v>70</v>
      </c>
      <c r="K11" s="12">
        <f t="shared" si="2"/>
        <v>3400</v>
      </c>
      <c r="L11" s="13" t="s">
        <v>340</v>
      </c>
      <c r="M11" s="13" t="s">
        <v>47</v>
      </c>
      <c r="N11" s="13" t="s">
        <v>80</v>
      </c>
    </row>
    <row r="12" spans="1:22">
      <c r="A12" s="11">
        <v>8</v>
      </c>
      <c r="B12" s="11" t="s">
        <v>43</v>
      </c>
      <c r="C12" s="11" t="s">
        <v>110</v>
      </c>
      <c r="D12" s="11" t="s">
        <v>341</v>
      </c>
      <c r="E12" s="12">
        <v>2101</v>
      </c>
      <c r="F12" s="12">
        <f t="shared" si="0"/>
        <v>600</v>
      </c>
      <c r="G12" s="12">
        <v>200</v>
      </c>
      <c r="H12" s="12">
        <v>2000</v>
      </c>
      <c r="I12" s="12">
        <v>0</v>
      </c>
      <c r="J12" s="12">
        <f t="shared" si="1"/>
        <v>270</v>
      </c>
      <c r="K12" s="12">
        <f t="shared" si="2"/>
        <v>5400</v>
      </c>
      <c r="L12" s="13" t="s">
        <v>342</v>
      </c>
      <c r="M12" s="13" t="s">
        <v>47</v>
      </c>
      <c r="N12" s="13" t="s">
        <v>80</v>
      </c>
    </row>
    <row r="13" spans="1:22">
      <c r="A13" s="11">
        <v>9</v>
      </c>
      <c r="B13" s="11" t="s">
        <v>43</v>
      </c>
      <c r="C13" s="11" t="s">
        <v>110</v>
      </c>
      <c r="D13" s="11" t="s">
        <v>343</v>
      </c>
      <c r="E13" s="12">
        <v>3901</v>
      </c>
      <c r="F13" s="12">
        <f t="shared" si="0"/>
        <v>1800</v>
      </c>
      <c r="G13" s="12">
        <v>500</v>
      </c>
      <c r="H13" s="12">
        <v>2500</v>
      </c>
      <c r="I13" s="12">
        <v>0</v>
      </c>
      <c r="J13" s="12">
        <f t="shared" si="1"/>
        <v>770</v>
      </c>
      <c r="K13" s="12">
        <f t="shared" si="2"/>
        <v>7900</v>
      </c>
      <c r="L13" s="13" t="s">
        <v>344</v>
      </c>
      <c r="M13" s="13" t="s">
        <v>47</v>
      </c>
      <c r="N13" s="13" t="s">
        <v>80</v>
      </c>
    </row>
    <row r="14" spans="1:22">
      <c r="A14" s="11">
        <v>10</v>
      </c>
      <c r="B14" s="11" t="s">
        <v>43</v>
      </c>
      <c r="C14" s="11" t="s">
        <v>110</v>
      </c>
      <c r="D14" s="11" t="s">
        <v>345</v>
      </c>
      <c r="E14" s="12">
        <v>6101</v>
      </c>
      <c r="F14" s="12">
        <f t="shared" si="0"/>
        <v>2200</v>
      </c>
      <c r="G14" s="12">
        <v>1000</v>
      </c>
      <c r="H14" s="12">
        <v>3000</v>
      </c>
      <c r="I14" s="12">
        <v>0</v>
      </c>
      <c r="J14" s="12">
        <f t="shared" si="1"/>
        <v>1770</v>
      </c>
      <c r="K14" s="12">
        <f t="shared" si="2"/>
        <v>10900</v>
      </c>
      <c r="L14" s="27" t="s">
        <v>346</v>
      </c>
      <c r="M14" s="13" t="s">
        <v>47</v>
      </c>
      <c r="N14" s="13" t="s">
        <v>80</v>
      </c>
    </row>
    <row r="15" ht="42" spans="1:22">
      <c r="A15" s="14">
        <v>11</v>
      </c>
      <c r="B15" s="28" t="s">
        <v>44</v>
      </c>
      <c r="C15" s="14" t="s">
        <v>125</v>
      </c>
      <c r="D15" s="14" t="s">
        <v>347</v>
      </c>
      <c r="E15" s="15">
        <v>12101</v>
      </c>
      <c r="F15" s="15">
        <f t="shared" si="0"/>
        <v>6000</v>
      </c>
      <c r="G15" s="15">
        <v>1000</v>
      </c>
      <c r="H15" s="15">
        <v>20000</v>
      </c>
      <c r="I15" s="15">
        <v>1</v>
      </c>
      <c r="J15" s="15">
        <f t="shared" si="1"/>
        <v>2770</v>
      </c>
      <c r="K15" s="15">
        <f t="shared" si="2"/>
        <v>30900</v>
      </c>
      <c r="L15" s="29" t="s">
        <v>348</v>
      </c>
      <c r="M15" s="16" t="s">
        <v>47</v>
      </c>
      <c r="N15" s="16" t="s">
        <v>128</v>
      </c>
    </row>
    <row r="16" ht="42" spans="1:22">
      <c r="A16" s="14">
        <v>12</v>
      </c>
      <c r="B16" s="14" t="s">
        <v>44</v>
      </c>
      <c r="C16" s="14" t="s">
        <v>125</v>
      </c>
      <c r="D16" s="14" t="s">
        <v>349</v>
      </c>
      <c r="E16" s="15">
        <v>35101</v>
      </c>
      <c r="F16" s="15">
        <f t="shared" si="0"/>
        <v>23000</v>
      </c>
      <c r="G16" s="15">
        <v>2000</v>
      </c>
      <c r="H16" s="15">
        <v>40000</v>
      </c>
      <c r="I16" s="15">
        <v>0</v>
      </c>
      <c r="J16" s="15">
        <f t="shared" si="1"/>
        <v>4770</v>
      </c>
      <c r="K16" s="15">
        <f t="shared" si="2"/>
        <v>70900</v>
      </c>
      <c r="L16" s="16" t="s">
        <v>350</v>
      </c>
      <c r="M16" s="16" t="s">
        <v>47</v>
      </c>
      <c r="N16" s="16" t="s">
        <v>80</v>
      </c>
    </row>
    <row r="17" ht="42" spans="1:14">
      <c r="A17" s="14">
        <v>13</v>
      </c>
      <c r="B17" s="14" t="s">
        <v>44</v>
      </c>
      <c r="C17" s="14" t="s">
        <v>125</v>
      </c>
      <c r="D17" s="14" t="s">
        <v>351</v>
      </c>
      <c r="E17" s="15">
        <v>50101</v>
      </c>
      <c r="F17" s="15">
        <f t="shared" si="0"/>
        <v>15000</v>
      </c>
      <c r="G17" s="15">
        <v>5000</v>
      </c>
      <c r="H17" s="15">
        <v>60000</v>
      </c>
      <c r="I17" s="15">
        <v>0</v>
      </c>
      <c r="J17" s="15">
        <f t="shared" si="1"/>
        <v>9770</v>
      </c>
      <c r="K17" s="15">
        <f t="shared" si="2"/>
        <v>130900</v>
      </c>
      <c r="L17" s="16" t="s">
        <v>352</v>
      </c>
      <c r="M17" s="16" t="s">
        <v>47</v>
      </c>
      <c r="N17" s="16" t="s">
        <v>80</v>
      </c>
    </row>
    <row r="18" ht="42" spans="1:14">
      <c r="A18" s="14">
        <v>14</v>
      </c>
      <c r="B18" s="14" t="s">
        <v>44</v>
      </c>
      <c r="C18" s="14" t="s">
        <v>125</v>
      </c>
      <c r="D18" s="14" t="s">
        <v>353</v>
      </c>
      <c r="E18" s="15">
        <v>75101</v>
      </c>
      <c r="F18" s="15">
        <f t="shared" si="0"/>
        <v>25000</v>
      </c>
      <c r="G18" s="15">
        <v>10000</v>
      </c>
      <c r="H18" s="15">
        <v>100000</v>
      </c>
      <c r="I18" s="15">
        <v>0</v>
      </c>
      <c r="J18" s="15">
        <f t="shared" si="1"/>
        <v>19770</v>
      </c>
      <c r="K18" s="15">
        <f t="shared" si="2"/>
        <v>230900</v>
      </c>
      <c r="L18" s="16" t="s">
        <v>354</v>
      </c>
      <c r="M18" s="16" t="s">
        <v>47</v>
      </c>
      <c r="N18" s="16" t="s">
        <v>80</v>
      </c>
    </row>
    <row r="19" ht="42" spans="1:14">
      <c r="A19" s="14">
        <v>15</v>
      </c>
      <c r="B19" s="14" t="s">
        <v>44</v>
      </c>
      <c r="C19" s="14" t="s">
        <v>125</v>
      </c>
      <c r="D19" s="14" t="s">
        <v>355</v>
      </c>
      <c r="E19" s="15">
        <v>108101</v>
      </c>
      <c r="F19" s="15">
        <f t="shared" si="0"/>
        <v>33000</v>
      </c>
      <c r="G19" s="15">
        <v>20000</v>
      </c>
      <c r="H19" s="15">
        <v>100000</v>
      </c>
      <c r="I19" s="15">
        <v>0</v>
      </c>
      <c r="J19" s="15">
        <f t="shared" si="1"/>
        <v>39770</v>
      </c>
      <c r="K19" s="15">
        <f t="shared" si="2"/>
        <v>330900</v>
      </c>
      <c r="L19" s="16" t="s">
        <v>356</v>
      </c>
      <c r="M19" s="16" t="s">
        <v>47</v>
      </c>
      <c r="N19" s="16" t="s">
        <v>80</v>
      </c>
    </row>
    <row r="20" ht="42.75" spans="1:14">
      <c r="A20" s="17">
        <v>16</v>
      </c>
      <c r="B20" s="17" t="s">
        <v>45</v>
      </c>
      <c r="C20" s="17" t="s">
        <v>137</v>
      </c>
      <c r="D20" s="17" t="s">
        <v>357</v>
      </c>
      <c r="E20" s="18">
        <v>308101</v>
      </c>
      <c r="F20" s="18">
        <f t="shared" si="0"/>
        <v>200000</v>
      </c>
      <c r="G20" s="18">
        <v>30000</v>
      </c>
      <c r="H20" s="18">
        <v>200000</v>
      </c>
      <c r="I20" s="18">
        <v>2</v>
      </c>
      <c r="J20" s="18">
        <f t="shared" si="1"/>
        <v>69770</v>
      </c>
      <c r="K20" s="18">
        <f t="shared" si="2"/>
        <v>530900</v>
      </c>
      <c r="L20" s="19" t="s">
        <v>358</v>
      </c>
      <c r="M20" s="19" t="s">
        <v>47</v>
      </c>
      <c r="N20" s="19" t="s">
        <v>140</v>
      </c>
    </row>
    <row r="21" ht="42.75" spans="1:14">
      <c r="A21" s="17">
        <v>17</v>
      </c>
      <c r="B21" s="17" t="s">
        <v>45</v>
      </c>
      <c r="C21" s="17" t="s">
        <v>137</v>
      </c>
      <c r="D21" s="17" t="s">
        <v>359</v>
      </c>
      <c r="E21" s="18">
        <v>508101</v>
      </c>
      <c r="F21" s="18">
        <f t="shared" si="0"/>
        <v>200000</v>
      </c>
      <c r="G21" s="18">
        <v>60000</v>
      </c>
      <c r="H21" s="18">
        <v>200000</v>
      </c>
      <c r="I21" s="18">
        <v>0</v>
      </c>
      <c r="J21" s="18">
        <f t="shared" si="1"/>
        <v>129770</v>
      </c>
      <c r="K21" s="18">
        <f t="shared" si="2"/>
        <v>730900</v>
      </c>
      <c r="L21" s="19" t="s">
        <v>358</v>
      </c>
      <c r="M21" s="19" t="s">
        <v>47</v>
      </c>
      <c r="N21" s="19" t="s">
        <v>80</v>
      </c>
    </row>
    <row r="22" ht="42.75" spans="1:14">
      <c r="A22" s="17">
        <v>18</v>
      </c>
      <c r="B22" s="17" t="s">
        <v>45</v>
      </c>
      <c r="C22" s="17" t="s">
        <v>137</v>
      </c>
      <c r="D22" s="17" t="s">
        <v>360</v>
      </c>
      <c r="E22" s="18">
        <v>808101</v>
      </c>
      <c r="F22" s="18">
        <f t="shared" si="0"/>
        <v>300000</v>
      </c>
      <c r="G22" s="18">
        <v>90000</v>
      </c>
      <c r="H22" s="18">
        <v>200000</v>
      </c>
      <c r="I22" s="18">
        <v>0</v>
      </c>
      <c r="J22" s="18">
        <f t="shared" si="1"/>
        <v>219770</v>
      </c>
      <c r="K22" s="18">
        <f t="shared" si="2"/>
        <v>930900</v>
      </c>
      <c r="L22" s="19" t="s">
        <v>358</v>
      </c>
      <c r="M22" s="19" t="s">
        <v>47</v>
      </c>
      <c r="N22" s="19" t="s">
        <v>80</v>
      </c>
    </row>
    <row r="23" ht="42.75" spans="1:14">
      <c r="A23" s="17">
        <v>19</v>
      </c>
      <c r="B23" s="17" t="s">
        <v>45</v>
      </c>
      <c r="C23" s="17" t="s">
        <v>137</v>
      </c>
      <c r="D23" s="30" t="s">
        <v>361</v>
      </c>
      <c r="E23" s="18">
        <v>1008101</v>
      </c>
      <c r="F23" s="18">
        <f t="shared" si="0"/>
        <v>200000</v>
      </c>
      <c r="G23" s="18">
        <v>120000</v>
      </c>
      <c r="H23" s="18">
        <v>200000</v>
      </c>
      <c r="I23" s="18">
        <v>0</v>
      </c>
      <c r="J23" s="18">
        <f t="shared" si="1"/>
        <v>339770</v>
      </c>
      <c r="K23" s="18">
        <f t="shared" si="2"/>
        <v>1130900</v>
      </c>
      <c r="L23" s="31" t="s">
        <v>362</v>
      </c>
      <c r="M23" s="19" t="s">
        <v>47</v>
      </c>
      <c r="N23" s="19" t="s">
        <v>80</v>
      </c>
    </row>
    <row r="24" ht="42.75" spans="1:14">
      <c r="A24" s="17">
        <v>20</v>
      </c>
      <c r="B24" s="17" t="s">
        <v>45</v>
      </c>
      <c r="C24" s="17" t="s">
        <v>137</v>
      </c>
      <c r="D24" s="17" t="s">
        <v>363</v>
      </c>
      <c r="E24" s="18">
        <v>1508101</v>
      </c>
      <c r="F24" s="18">
        <f t="shared" si="0"/>
        <v>500000</v>
      </c>
      <c r="G24" s="18">
        <v>150000</v>
      </c>
      <c r="H24" s="18">
        <v>200000</v>
      </c>
      <c r="I24" s="18">
        <v>0</v>
      </c>
      <c r="J24" s="18">
        <f t="shared" si="1"/>
        <v>489770</v>
      </c>
      <c r="K24" s="18">
        <f t="shared" si="2"/>
        <v>1330900</v>
      </c>
      <c r="L24" s="19" t="s">
        <v>358</v>
      </c>
      <c r="M24" s="19" t="s">
        <v>47</v>
      </c>
      <c r="N24" s="19" t="s">
        <v>80</v>
      </c>
    </row>
    <row r="25" ht="42.75" spans="1:14">
      <c r="A25" s="17">
        <v>21</v>
      </c>
      <c r="B25" s="17" t="s">
        <v>45</v>
      </c>
      <c r="C25" s="17" t="s">
        <v>146</v>
      </c>
      <c r="D25" s="17" t="s">
        <v>364</v>
      </c>
      <c r="E25" s="18">
        <v>2008101</v>
      </c>
      <c r="F25" s="18">
        <f t="shared" si="0"/>
        <v>500000</v>
      </c>
      <c r="G25" s="18">
        <v>200000</v>
      </c>
      <c r="H25" s="18">
        <v>400000</v>
      </c>
      <c r="I25" s="18">
        <v>0</v>
      </c>
      <c r="J25" s="18">
        <f t="shared" si="1"/>
        <v>689770</v>
      </c>
      <c r="K25" s="18">
        <f t="shared" si="2"/>
        <v>1730900</v>
      </c>
      <c r="L25" s="19" t="s">
        <v>358</v>
      </c>
      <c r="M25" s="19" t="s">
        <v>47</v>
      </c>
      <c r="N25" s="19" t="s">
        <v>148</v>
      </c>
    </row>
    <row r="26" ht="42.75" spans="1:14">
      <c r="A26" s="17">
        <v>22</v>
      </c>
      <c r="B26" s="17" t="s">
        <v>45</v>
      </c>
      <c r="C26" s="17" t="s">
        <v>146</v>
      </c>
      <c r="D26" s="17" t="s">
        <v>365</v>
      </c>
      <c r="E26" s="18">
        <v>3008101</v>
      </c>
      <c r="F26" s="18">
        <f t="shared" si="0"/>
        <v>1000000</v>
      </c>
      <c r="G26" s="18">
        <v>250000</v>
      </c>
      <c r="H26" s="18">
        <v>500000</v>
      </c>
      <c r="I26" s="18">
        <v>0</v>
      </c>
      <c r="J26" s="18">
        <f t="shared" si="1"/>
        <v>939770</v>
      </c>
      <c r="K26" s="18">
        <f t="shared" si="2"/>
        <v>2230900</v>
      </c>
      <c r="L26" s="19" t="s">
        <v>358</v>
      </c>
      <c r="M26" s="19" t="s">
        <v>47</v>
      </c>
      <c r="N26" s="19" t="s">
        <v>80</v>
      </c>
    </row>
    <row r="27" ht="42.75" spans="1:14">
      <c r="A27" s="17">
        <v>23</v>
      </c>
      <c r="B27" s="17" t="s">
        <v>45</v>
      </c>
      <c r="C27" s="17" t="s">
        <v>146</v>
      </c>
      <c r="D27" s="17" t="s">
        <v>366</v>
      </c>
      <c r="E27" s="18">
        <v>4008101</v>
      </c>
      <c r="F27" s="18">
        <f t="shared" si="0"/>
        <v>1000000</v>
      </c>
      <c r="G27" s="18">
        <v>300000</v>
      </c>
      <c r="H27" s="18">
        <v>600000</v>
      </c>
      <c r="I27" s="18">
        <v>0</v>
      </c>
      <c r="J27" s="18">
        <f t="shared" si="1"/>
        <v>1239770</v>
      </c>
      <c r="K27" s="18">
        <f t="shared" si="2"/>
        <v>2830900</v>
      </c>
      <c r="L27" s="19" t="s">
        <v>358</v>
      </c>
      <c r="M27" s="19" t="s">
        <v>47</v>
      </c>
      <c r="N27" s="19" t="s">
        <v>80</v>
      </c>
    </row>
    <row r="28" ht="42.75" spans="1:14">
      <c r="A28" s="17">
        <v>24</v>
      </c>
      <c r="B28" s="17" t="s">
        <v>45</v>
      </c>
      <c r="C28" s="17" t="s">
        <v>146</v>
      </c>
      <c r="D28" s="17" t="s">
        <v>367</v>
      </c>
      <c r="E28" s="18">
        <v>5008101</v>
      </c>
      <c r="F28" s="18">
        <f t="shared" si="0"/>
        <v>1000000</v>
      </c>
      <c r="G28" s="18">
        <v>350000</v>
      </c>
      <c r="H28" s="18">
        <v>700000</v>
      </c>
      <c r="I28" s="18">
        <v>0</v>
      </c>
      <c r="J28" s="18">
        <f t="shared" si="1"/>
        <v>1589770</v>
      </c>
      <c r="K28" s="18">
        <f t="shared" si="2"/>
        <v>3530900</v>
      </c>
      <c r="L28" s="19" t="s">
        <v>358</v>
      </c>
      <c r="M28" s="19" t="s">
        <v>47</v>
      </c>
      <c r="N28" s="19" t="s">
        <v>80</v>
      </c>
    </row>
    <row r="29" ht="42.75" spans="1:14">
      <c r="A29" s="17">
        <v>25</v>
      </c>
      <c r="B29" s="17" t="s">
        <v>45</v>
      </c>
      <c r="C29" s="17" t="s">
        <v>146</v>
      </c>
      <c r="D29" s="17" t="s">
        <v>368</v>
      </c>
      <c r="E29" s="18">
        <v>6008101</v>
      </c>
      <c r="F29" s="18">
        <f t="shared" si="0"/>
        <v>1000000</v>
      </c>
      <c r="G29" s="18">
        <v>400000</v>
      </c>
      <c r="H29" s="18">
        <v>800000</v>
      </c>
      <c r="I29" s="18">
        <v>0</v>
      </c>
      <c r="J29" s="18">
        <f t="shared" si="1"/>
        <v>1989770</v>
      </c>
      <c r="K29" s="18">
        <f t="shared" si="2"/>
        <v>4330900</v>
      </c>
      <c r="L29" s="19" t="s">
        <v>358</v>
      </c>
      <c r="M29" s="19" t="s">
        <v>47</v>
      </c>
      <c r="N29" s="19" t="s">
        <v>80</v>
      </c>
    </row>
    <row r="31" ht="32" customHeight="1" spans="1:14">
      <c r="A31" s="20" t="s">
        <v>154</v>
      </c>
      <c r="B31" s="20"/>
      <c r="C31" s="20"/>
      <c r="D31" s="20"/>
      <c r="E31" s="20"/>
      <c r="F31" s="20"/>
      <c r="G31" s="21">
        <f>SUM(G5:G29)</f>
        <v>1989770</v>
      </c>
      <c r="H31" s="21">
        <f>SUM(H5:H29)</f>
        <v>4330900</v>
      </c>
      <c r="I31" s="21">
        <f>SUM(I5:I29)</f>
        <v>4</v>
      </c>
      <c r="J31" s="20" t="s">
        <v>155</v>
      </c>
      <c r="K31" s="20"/>
      <c r="L31" s="20"/>
      <c r="M31" s="20"/>
      <c r="N31" s="20"/>
    </row>
    <row r="34" ht="28" customHeight="1" spans="1:7">
      <c r="A34" s="26"/>
      <c r="B34" s="26"/>
      <c r="C34" s="26"/>
      <c r="D34" s="26"/>
      <c r="E34" s="26"/>
      <c r="F34" s="26"/>
      <c r="G34" s="26"/>
    </row>
    <row r="35" ht="15" spans="1:7">
      <c r="A35" s="22"/>
      <c r="B35" s="22"/>
      <c r="C35" s="22"/>
      <c r="D35" s="22"/>
      <c r="E35" s="22"/>
      <c r="F35" s="22"/>
      <c r="G35" s="22"/>
    </row>
    <row r="36" spans="1:7">
      <c r="A36" s="23"/>
      <c r="B36" s="23"/>
      <c r="C36" s="23"/>
      <c r="D36" s="23"/>
      <c r="E36" s="23"/>
      <c r="F36" s="23"/>
      <c r="G36" s="23"/>
    </row>
    <row r="37" spans="1:7">
      <c r="A37" s="24"/>
      <c r="B37" s="24"/>
      <c r="C37" s="24"/>
      <c r="D37" s="24"/>
      <c r="E37" s="24"/>
      <c r="F37" s="24"/>
      <c r="G37" s="24"/>
    </row>
    <row r="38" spans="1:7">
      <c r="A38" s="23"/>
      <c r="B38" s="23"/>
      <c r="C38" s="23"/>
      <c r="D38" s="23"/>
      <c r="E38" s="23"/>
      <c r="F38" s="23"/>
      <c r="G38" s="23"/>
    </row>
    <row r="39" spans="1:7">
      <c r="A39" s="24"/>
      <c r="B39" s="24"/>
      <c r="C39" s="24"/>
      <c r="D39" s="24"/>
      <c r="E39" s="24"/>
      <c r="F39" s="24"/>
      <c r="G39" s="24"/>
    </row>
    <row r="40" spans="1:7">
      <c r="A40" s="23"/>
      <c r="B40" s="23"/>
      <c r="C40" s="23"/>
      <c r="D40" s="23"/>
      <c r="E40" s="23"/>
      <c r="F40" s="23"/>
      <c r="G40" s="23"/>
    </row>
  </sheetData>
  <mergeCells count="6">
    <mergeCell ref="A1:N1"/>
    <mergeCell ref="A2:N2"/>
    <mergeCell ref="P4:V4"/>
    <mergeCell ref="A31:F31"/>
    <mergeCell ref="J31:N31"/>
    <mergeCell ref="A34:G3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"/>
  <sheetViews>
    <sheetView workbookViewId="0">
      <selection activeCell="B20" sqref="B20"/>
    </sheetView>
  </sheetViews>
  <sheetFormatPr defaultColWidth="9" defaultRowHeight="14.25"/>
  <cols>
    <col min="1" max="1" width="8" customWidth="1"/>
    <col min="2" max="2" width="16" customWidth="1"/>
    <col min="3" max="3" width="9" customWidth="1"/>
    <col min="4" max="4" width="25" customWidth="1"/>
    <col min="5" max="5" width="16" customWidth="1"/>
    <col min="6" max="8" width="17" customWidth="1"/>
    <col min="9" max="9" width="12" customWidth="1"/>
    <col min="10" max="11" width="16" customWidth="1"/>
    <col min="12" max="12" width="58" customWidth="1"/>
    <col min="13" max="13" width="16" customWidth="1"/>
    <col min="14" max="14" width="38" customWidth="1"/>
    <col min="16" max="16" width="15" customWidth="1"/>
    <col min="17" max="17" width="20" customWidth="1"/>
    <col min="18" max="18" width="16" customWidth="1"/>
    <col min="19" max="19" width="18" customWidth="1"/>
    <col min="20" max="20" width="65" customWidth="1"/>
    <col min="21" max="21" width="40" customWidth="1"/>
    <col min="22" max="22" width="44" customWidth="1"/>
  </cols>
  <sheetData>
    <row r="1" ht="32" customHeight="1" spans="1:22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42" customHeight="1" spans="1:22">
      <c r="A2" s="2" t="s">
        <v>369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0" customHeight="1" spans="1:22">
      <c r="A4" s="3" t="s">
        <v>2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</v>
      </c>
      <c r="N4" s="3" t="s">
        <v>77</v>
      </c>
      <c r="P4" s="4" t="s">
        <v>78</v>
      </c>
      <c r="Q4" s="4"/>
      <c r="R4" s="4"/>
      <c r="S4" s="4"/>
      <c r="T4" s="4"/>
      <c r="U4" s="4"/>
      <c r="V4" s="4"/>
    </row>
    <row r="5" ht="30" customHeight="1" spans="1:22">
      <c r="A5" s="5">
        <v>1</v>
      </c>
      <c r="B5" s="5" t="s">
        <v>79</v>
      </c>
      <c r="C5" s="5" t="s">
        <v>80</v>
      </c>
      <c r="D5" s="5" t="s">
        <v>81</v>
      </c>
      <c r="E5" s="6">
        <v>172</v>
      </c>
      <c r="F5" s="6" t="s">
        <v>82</v>
      </c>
      <c r="G5" s="6">
        <v>0</v>
      </c>
      <c r="H5" s="6">
        <v>50</v>
      </c>
      <c r="I5" s="6">
        <v>0</v>
      </c>
      <c r="J5" s="6">
        <f>G5</f>
        <v>0</v>
      </c>
      <c r="K5" s="6">
        <f>H5</f>
        <v>50</v>
      </c>
      <c r="L5" s="7" t="s">
        <v>83</v>
      </c>
      <c r="M5" s="7" t="s">
        <v>53</v>
      </c>
      <c r="N5" s="7" t="s">
        <v>84</v>
      </c>
      <c r="P5" s="8" t="s">
        <v>66</v>
      </c>
      <c r="Q5" s="8" t="s">
        <v>85</v>
      </c>
      <c r="R5" s="8" t="s">
        <v>86</v>
      </c>
      <c r="S5" s="8" t="s">
        <v>87</v>
      </c>
      <c r="T5" s="8" t="s">
        <v>88</v>
      </c>
      <c r="U5" s="8" t="s">
        <v>89</v>
      </c>
      <c r="V5" s="8" t="s">
        <v>77</v>
      </c>
    </row>
    <row r="6" spans="1:22">
      <c r="A6" s="5">
        <v>2</v>
      </c>
      <c r="B6" s="5" t="s">
        <v>79</v>
      </c>
      <c r="C6" s="5" t="s">
        <v>80</v>
      </c>
      <c r="D6" s="5" t="s">
        <v>59</v>
      </c>
      <c r="E6" s="6">
        <v>251</v>
      </c>
      <c r="F6" s="6">
        <f t="shared" ref="F6:F29" si="0">E6-E5</f>
        <v>79</v>
      </c>
      <c r="G6" s="6">
        <v>0</v>
      </c>
      <c r="H6" s="6">
        <v>100</v>
      </c>
      <c r="I6" s="6">
        <v>0</v>
      </c>
      <c r="J6" s="6">
        <f t="shared" ref="J6:J29" si="1">J5+G6</f>
        <v>0</v>
      </c>
      <c r="K6" s="6">
        <f t="shared" ref="K6:K29" si="2">K5+H6</f>
        <v>150</v>
      </c>
      <c r="L6" s="7" t="s">
        <v>83</v>
      </c>
      <c r="M6" s="7" t="s">
        <v>53</v>
      </c>
      <c r="N6" s="7" t="s">
        <v>90</v>
      </c>
      <c r="P6" s="9" t="s">
        <v>4</v>
      </c>
      <c r="Q6" s="9" t="s">
        <v>49</v>
      </c>
      <c r="R6" s="9" t="s">
        <v>92</v>
      </c>
      <c r="S6" s="9" t="s">
        <v>93</v>
      </c>
      <c r="T6" s="9" t="s">
        <v>370</v>
      </c>
      <c r="U6" s="9" t="s">
        <v>371</v>
      </c>
      <c r="V6" s="9" t="s">
        <v>96</v>
      </c>
    </row>
    <row r="7" spans="1:22">
      <c r="A7" s="5">
        <v>3</v>
      </c>
      <c r="B7" s="5" t="s">
        <v>79</v>
      </c>
      <c r="C7" s="5" t="s">
        <v>80</v>
      </c>
      <c r="D7" s="5" t="s">
        <v>97</v>
      </c>
      <c r="E7" s="6">
        <v>301</v>
      </c>
      <c r="F7" s="6">
        <f t="shared" si="0"/>
        <v>50</v>
      </c>
      <c r="G7" s="6">
        <v>0</v>
      </c>
      <c r="H7" s="6">
        <v>200</v>
      </c>
      <c r="I7" s="6">
        <v>0</v>
      </c>
      <c r="J7" s="6">
        <f t="shared" si="1"/>
        <v>0</v>
      </c>
      <c r="K7" s="6">
        <f t="shared" si="2"/>
        <v>350</v>
      </c>
      <c r="L7" s="7" t="s">
        <v>83</v>
      </c>
      <c r="M7" s="7" t="s">
        <v>53</v>
      </c>
      <c r="N7" s="7" t="s">
        <v>80</v>
      </c>
      <c r="P7" s="10" t="s">
        <v>4</v>
      </c>
      <c r="Q7" s="10" t="s">
        <v>49</v>
      </c>
      <c r="R7" s="10" t="s">
        <v>98</v>
      </c>
      <c r="S7" s="10" t="s">
        <v>99</v>
      </c>
      <c r="T7" s="10" t="s">
        <v>372</v>
      </c>
      <c r="U7" s="10" t="s">
        <v>283</v>
      </c>
      <c r="V7" s="10" t="s">
        <v>373</v>
      </c>
    </row>
    <row r="8" spans="1:22">
      <c r="A8" s="5">
        <v>4</v>
      </c>
      <c r="B8" s="5" t="s">
        <v>79</v>
      </c>
      <c r="C8" s="5" t="s">
        <v>80</v>
      </c>
      <c r="D8" s="5" t="s">
        <v>103</v>
      </c>
      <c r="E8" s="6">
        <v>401</v>
      </c>
      <c r="F8" s="6">
        <f t="shared" si="0"/>
        <v>100</v>
      </c>
      <c r="G8" s="6">
        <v>0</v>
      </c>
      <c r="H8" s="6">
        <v>250</v>
      </c>
      <c r="I8" s="6">
        <v>0</v>
      </c>
      <c r="J8" s="6">
        <f t="shared" si="1"/>
        <v>0</v>
      </c>
      <c r="K8" s="6">
        <f t="shared" si="2"/>
        <v>600</v>
      </c>
      <c r="L8" s="7" t="s">
        <v>83</v>
      </c>
      <c r="M8" s="7" t="s">
        <v>53</v>
      </c>
      <c r="N8" s="7" t="s">
        <v>80</v>
      </c>
      <c r="P8" s="9" t="s">
        <v>5</v>
      </c>
      <c r="Q8" s="9" t="s">
        <v>50</v>
      </c>
      <c r="R8" s="9" t="s">
        <v>92</v>
      </c>
      <c r="S8" s="9" t="s">
        <v>93</v>
      </c>
      <c r="T8" s="9" t="s">
        <v>374</v>
      </c>
      <c r="U8" s="9" t="s">
        <v>375</v>
      </c>
      <c r="V8" s="9" t="s">
        <v>96</v>
      </c>
    </row>
    <row r="9" spans="1:22">
      <c r="A9" s="5">
        <v>5</v>
      </c>
      <c r="B9" s="5" t="s">
        <v>79</v>
      </c>
      <c r="C9" s="5" t="s">
        <v>80</v>
      </c>
      <c r="D9" s="5" t="s">
        <v>107</v>
      </c>
      <c r="E9" s="6">
        <v>501</v>
      </c>
      <c r="F9" s="6">
        <f t="shared" si="0"/>
        <v>100</v>
      </c>
      <c r="G9" s="6">
        <v>0</v>
      </c>
      <c r="H9" s="6">
        <v>300</v>
      </c>
      <c r="I9" s="6">
        <v>0</v>
      </c>
      <c r="J9" s="6">
        <f t="shared" si="1"/>
        <v>0</v>
      </c>
      <c r="K9" s="6">
        <f t="shared" si="2"/>
        <v>900</v>
      </c>
      <c r="L9" s="7" t="s">
        <v>83</v>
      </c>
      <c r="M9" s="7" t="s">
        <v>53</v>
      </c>
      <c r="N9" s="7" t="s">
        <v>80</v>
      </c>
      <c r="P9" s="10" t="s">
        <v>5</v>
      </c>
      <c r="Q9" s="10" t="s">
        <v>50</v>
      </c>
      <c r="R9" s="10" t="s">
        <v>98</v>
      </c>
      <c r="S9" s="10" t="s">
        <v>99</v>
      </c>
      <c r="T9" s="10" t="s">
        <v>376</v>
      </c>
      <c r="U9" s="10" t="s">
        <v>333</v>
      </c>
      <c r="V9" s="10" t="s">
        <v>377</v>
      </c>
    </row>
    <row r="10" spans="1:22">
      <c r="A10" s="11">
        <v>6</v>
      </c>
      <c r="B10" s="11" t="s">
        <v>49</v>
      </c>
      <c r="C10" s="11" t="s">
        <v>110</v>
      </c>
      <c r="D10" s="11" t="s">
        <v>378</v>
      </c>
      <c r="E10" s="12">
        <v>901</v>
      </c>
      <c r="F10" s="12">
        <f t="shared" si="0"/>
        <v>400</v>
      </c>
      <c r="G10" s="12">
        <v>20</v>
      </c>
      <c r="H10" s="12">
        <v>1000</v>
      </c>
      <c r="I10" s="12">
        <v>1</v>
      </c>
      <c r="J10" s="12">
        <f t="shared" si="1"/>
        <v>20</v>
      </c>
      <c r="K10" s="12">
        <f t="shared" si="2"/>
        <v>1900</v>
      </c>
      <c r="L10" s="13" t="s">
        <v>379</v>
      </c>
      <c r="M10" s="13" t="s">
        <v>53</v>
      </c>
      <c r="N10" s="13" t="s">
        <v>113</v>
      </c>
      <c r="P10" s="9" t="s">
        <v>6</v>
      </c>
      <c r="Q10" s="9" t="s">
        <v>51</v>
      </c>
      <c r="R10" s="9" t="s">
        <v>98</v>
      </c>
      <c r="S10" s="9" t="s">
        <v>114</v>
      </c>
      <c r="T10" s="9" t="s">
        <v>380</v>
      </c>
      <c r="U10" s="9" t="s">
        <v>381</v>
      </c>
      <c r="V10" s="9" t="s">
        <v>102</v>
      </c>
    </row>
    <row r="11" spans="1:22">
      <c r="A11" s="11">
        <v>7</v>
      </c>
      <c r="B11" s="11" t="s">
        <v>49</v>
      </c>
      <c r="C11" s="11" t="s">
        <v>110</v>
      </c>
      <c r="D11" s="11" t="s">
        <v>382</v>
      </c>
      <c r="E11" s="12">
        <v>1501</v>
      </c>
      <c r="F11" s="12">
        <f t="shared" si="0"/>
        <v>600</v>
      </c>
      <c r="G11" s="12">
        <v>50</v>
      </c>
      <c r="H11" s="12">
        <v>1500</v>
      </c>
      <c r="I11" s="12">
        <v>0</v>
      </c>
      <c r="J11" s="12">
        <f t="shared" si="1"/>
        <v>70</v>
      </c>
      <c r="K11" s="12">
        <f t="shared" si="2"/>
        <v>3400</v>
      </c>
      <c r="L11" s="13" t="s">
        <v>383</v>
      </c>
      <c r="M11" s="13" t="s">
        <v>53</v>
      </c>
      <c r="N11" s="13" t="s">
        <v>80</v>
      </c>
    </row>
    <row r="12" spans="1:22">
      <c r="A12" s="11">
        <v>8</v>
      </c>
      <c r="B12" s="11" t="s">
        <v>49</v>
      </c>
      <c r="C12" s="11" t="s">
        <v>110</v>
      </c>
      <c r="D12" s="11" t="s">
        <v>384</v>
      </c>
      <c r="E12" s="12">
        <v>2101</v>
      </c>
      <c r="F12" s="12">
        <f t="shared" si="0"/>
        <v>600</v>
      </c>
      <c r="G12" s="12">
        <v>200</v>
      </c>
      <c r="H12" s="12">
        <v>2000</v>
      </c>
      <c r="I12" s="12">
        <v>0</v>
      </c>
      <c r="J12" s="12">
        <f t="shared" si="1"/>
        <v>270</v>
      </c>
      <c r="K12" s="12">
        <f t="shared" si="2"/>
        <v>5400</v>
      </c>
      <c r="L12" s="13" t="s">
        <v>385</v>
      </c>
      <c r="M12" s="13" t="s">
        <v>53</v>
      </c>
      <c r="N12" s="13" t="s">
        <v>80</v>
      </c>
    </row>
    <row r="13" spans="1:22">
      <c r="A13" s="11">
        <v>9</v>
      </c>
      <c r="B13" s="11" t="s">
        <v>49</v>
      </c>
      <c r="C13" s="11" t="s">
        <v>110</v>
      </c>
      <c r="D13" s="11" t="s">
        <v>386</v>
      </c>
      <c r="E13" s="12">
        <v>3901</v>
      </c>
      <c r="F13" s="12">
        <f t="shared" si="0"/>
        <v>1800</v>
      </c>
      <c r="G13" s="12">
        <v>500</v>
      </c>
      <c r="H13" s="12">
        <v>2500</v>
      </c>
      <c r="I13" s="12">
        <v>0</v>
      </c>
      <c r="J13" s="12">
        <f t="shared" si="1"/>
        <v>770</v>
      </c>
      <c r="K13" s="12">
        <f t="shared" si="2"/>
        <v>7900</v>
      </c>
      <c r="L13" s="13" t="s">
        <v>387</v>
      </c>
      <c r="M13" s="13" t="s">
        <v>53</v>
      </c>
      <c r="N13" s="13" t="s">
        <v>80</v>
      </c>
    </row>
    <row r="14" spans="1:22">
      <c r="A14" s="11">
        <v>10</v>
      </c>
      <c r="B14" s="11" t="s">
        <v>49</v>
      </c>
      <c r="C14" s="11" t="s">
        <v>110</v>
      </c>
      <c r="D14" s="11" t="s">
        <v>388</v>
      </c>
      <c r="E14" s="12">
        <v>6101</v>
      </c>
      <c r="F14" s="12">
        <f t="shared" si="0"/>
        <v>2200</v>
      </c>
      <c r="G14" s="12">
        <v>1000</v>
      </c>
      <c r="H14" s="12">
        <v>3000</v>
      </c>
      <c r="I14" s="12">
        <v>0</v>
      </c>
      <c r="J14" s="12">
        <f t="shared" si="1"/>
        <v>1770</v>
      </c>
      <c r="K14" s="12">
        <f t="shared" si="2"/>
        <v>10900</v>
      </c>
      <c r="L14" s="13" t="s">
        <v>389</v>
      </c>
      <c r="M14" s="13" t="s">
        <v>53</v>
      </c>
      <c r="N14" s="13" t="s">
        <v>80</v>
      </c>
    </row>
    <row r="15" ht="28.5" spans="1:22">
      <c r="A15" s="14">
        <v>11</v>
      </c>
      <c r="B15" s="14" t="s">
        <v>50</v>
      </c>
      <c r="C15" s="14" t="s">
        <v>125</v>
      </c>
      <c r="D15" s="14" t="s">
        <v>390</v>
      </c>
      <c r="E15" s="15">
        <v>12101</v>
      </c>
      <c r="F15" s="15">
        <f t="shared" si="0"/>
        <v>6000</v>
      </c>
      <c r="G15" s="15">
        <v>1000</v>
      </c>
      <c r="H15" s="15">
        <v>20000</v>
      </c>
      <c r="I15" s="15">
        <v>1</v>
      </c>
      <c r="J15" s="15">
        <f t="shared" si="1"/>
        <v>2770</v>
      </c>
      <c r="K15" s="15">
        <f t="shared" si="2"/>
        <v>30900</v>
      </c>
      <c r="L15" s="16" t="s">
        <v>391</v>
      </c>
      <c r="M15" s="16" t="s">
        <v>53</v>
      </c>
      <c r="N15" s="16" t="s">
        <v>128</v>
      </c>
    </row>
    <row r="16" ht="28.5" spans="1:22">
      <c r="A16" s="14">
        <v>12</v>
      </c>
      <c r="B16" s="14" t="s">
        <v>50</v>
      </c>
      <c r="C16" s="14" t="s">
        <v>125</v>
      </c>
      <c r="D16" s="14" t="s">
        <v>392</v>
      </c>
      <c r="E16" s="15">
        <v>35101</v>
      </c>
      <c r="F16" s="15">
        <f t="shared" si="0"/>
        <v>23000</v>
      </c>
      <c r="G16" s="15">
        <v>2000</v>
      </c>
      <c r="H16" s="15">
        <v>40000</v>
      </c>
      <c r="I16" s="15">
        <v>0</v>
      </c>
      <c r="J16" s="15">
        <f t="shared" si="1"/>
        <v>4770</v>
      </c>
      <c r="K16" s="15">
        <f t="shared" si="2"/>
        <v>70900</v>
      </c>
      <c r="L16" s="16" t="s">
        <v>393</v>
      </c>
      <c r="M16" s="16" t="s">
        <v>53</v>
      </c>
      <c r="N16" s="16" t="s">
        <v>80</v>
      </c>
    </row>
    <row r="17" ht="28.5" spans="1:14">
      <c r="A17" s="14">
        <v>13</v>
      </c>
      <c r="B17" s="14" t="s">
        <v>50</v>
      </c>
      <c r="C17" s="14" t="s">
        <v>125</v>
      </c>
      <c r="D17" s="14" t="s">
        <v>394</v>
      </c>
      <c r="E17" s="15">
        <v>50101</v>
      </c>
      <c r="F17" s="15">
        <f t="shared" si="0"/>
        <v>15000</v>
      </c>
      <c r="G17" s="15">
        <v>5000</v>
      </c>
      <c r="H17" s="15">
        <v>60000</v>
      </c>
      <c r="I17" s="15">
        <v>0</v>
      </c>
      <c r="J17" s="15">
        <f t="shared" si="1"/>
        <v>9770</v>
      </c>
      <c r="K17" s="15">
        <f t="shared" si="2"/>
        <v>130900</v>
      </c>
      <c r="L17" s="16" t="s">
        <v>395</v>
      </c>
      <c r="M17" s="16" t="s">
        <v>53</v>
      </c>
      <c r="N17" s="16" t="s">
        <v>80</v>
      </c>
    </row>
    <row r="18" ht="28.5" spans="1:14">
      <c r="A18" s="14">
        <v>14</v>
      </c>
      <c r="B18" s="14" t="s">
        <v>50</v>
      </c>
      <c r="C18" s="14" t="s">
        <v>125</v>
      </c>
      <c r="D18" s="14" t="s">
        <v>396</v>
      </c>
      <c r="E18" s="15">
        <v>75101</v>
      </c>
      <c r="F18" s="15">
        <f t="shared" si="0"/>
        <v>25000</v>
      </c>
      <c r="G18" s="15">
        <v>10000</v>
      </c>
      <c r="H18" s="15">
        <v>100000</v>
      </c>
      <c r="I18" s="15">
        <v>0</v>
      </c>
      <c r="J18" s="15">
        <f t="shared" si="1"/>
        <v>19770</v>
      </c>
      <c r="K18" s="15">
        <f t="shared" si="2"/>
        <v>230900</v>
      </c>
      <c r="L18" s="16" t="s">
        <v>397</v>
      </c>
      <c r="M18" s="16" t="s">
        <v>53</v>
      </c>
      <c r="N18" s="16" t="s">
        <v>80</v>
      </c>
    </row>
    <row r="19" ht="28.5" spans="1:14">
      <c r="A19" s="14">
        <v>15</v>
      </c>
      <c r="B19" s="14" t="s">
        <v>50</v>
      </c>
      <c r="C19" s="14" t="s">
        <v>125</v>
      </c>
      <c r="D19" s="14" t="s">
        <v>398</v>
      </c>
      <c r="E19" s="15">
        <v>108101</v>
      </c>
      <c r="F19" s="15">
        <f t="shared" si="0"/>
        <v>33000</v>
      </c>
      <c r="G19" s="15">
        <v>20000</v>
      </c>
      <c r="H19" s="15">
        <v>100000</v>
      </c>
      <c r="I19" s="15">
        <v>0</v>
      </c>
      <c r="J19" s="15">
        <f t="shared" si="1"/>
        <v>39770</v>
      </c>
      <c r="K19" s="15">
        <f t="shared" si="2"/>
        <v>330900</v>
      </c>
      <c r="L19" s="16" t="s">
        <v>399</v>
      </c>
      <c r="M19" s="16" t="s">
        <v>53</v>
      </c>
      <c r="N19" s="16" t="s">
        <v>80</v>
      </c>
    </row>
    <row r="20" ht="42.75" spans="1:14">
      <c r="A20" s="17">
        <v>16</v>
      </c>
      <c r="B20" s="17" t="s">
        <v>51</v>
      </c>
      <c r="C20" s="17" t="s">
        <v>137</v>
      </c>
      <c r="D20" s="17" t="s">
        <v>400</v>
      </c>
      <c r="E20" s="18">
        <v>308101</v>
      </c>
      <c r="F20" s="18">
        <f t="shared" si="0"/>
        <v>200000</v>
      </c>
      <c r="G20" s="18">
        <v>30000</v>
      </c>
      <c r="H20" s="18">
        <v>200000</v>
      </c>
      <c r="I20" s="18">
        <v>2</v>
      </c>
      <c r="J20" s="18">
        <f t="shared" si="1"/>
        <v>69770</v>
      </c>
      <c r="K20" s="18">
        <f t="shared" si="2"/>
        <v>530900</v>
      </c>
      <c r="L20" s="19" t="s">
        <v>401</v>
      </c>
      <c r="M20" s="19" t="s">
        <v>53</v>
      </c>
      <c r="N20" s="19" t="s">
        <v>140</v>
      </c>
    </row>
    <row r="21" ht="42.75" spans="1:14">
      <c r="A21" s="17">
        <v>17</v>
      </c>
      <c r="B21" s="17" t="s">
        <v>51</v>
      </c>
      <c r="C21" s="17" t="s">
        <v>137</v>
      </c>
      <c r="D21" s="17" t="s">
        <v>402</v>
      </c>
      <c r="E21" s="18">
        <v>508101</v>
      </c>
      <c r="F21" s="18">
        <f t="shared" si="0"/>
        <v>200000</v>
      </c>
      <c r="G21" s="18">
        <v>60000</v>
      </c>
      <c r="H21" s="18">
        <v>200000</v>
      </c>
      <c r="I21" s="18">
        <v>0</v>
      </c>
      <c r="J21" s="18">
        <f t="shared" si="1"/>
        <v>129770</v>
      </c>
      <c r="K21" s="18">
        <f t="shared" si="2"/>
        <v>730900</v>
      </c>
      <c r="L21" s="19" t="s">
        <v>401</v>
      </c>
      <c r="M21" s="19" t="s">
        <v>53</v>
      </c>
      <c r="N21" s="19" t="s">
        <v>80</v>
      </c>
    </row>
    <row r="22" ht="42.75" spans="1:14">
      <c r="A22" s="17">
        <v>18</v>
      </c>
      <c r="B22" s="17" t="s">
        <v>51</v>
      </c>
      <c r="C22" s="17" t="s">
        <v>137</v>
      </c>
      <c r="D22" s="17" t="s">
        <v>403</v>
      </c>
      <c r="E22" s="18">
        <v>808101</v>
      </c>
      <c r="F22" s="18">
        <f t="shared" si="0"/>
        <v>300000</v>
      </c>
      <c r="G22" s="18">
        <v>90000</v>
      </c>
      <c r="H22" s="18">
        <v>200000</v>
      </c>
      <c r="I22" s="18">
        <v>0</v>
      </c>
      <c r="J22" s="18">
        <f t="shared" si="1"/>
        <v>219770</v>
      </c>
      <c r="K22" s="18">
        <f t="shared" si="2"/>
        <v>930900</v>
      </c>
      <c r="L22" s="19" t="s">
        <v>401</v>
      </c>
      <c r="M22" s="19" t="s">
        <v>53</v>
      </c>
      <c r="N22" s="19" t="s">
        <v>80</v>
      </c>
    </row>
    <row r="23" ht="42.75" spans="1:14">
      <c r="A23" s="17">
        <v>19</v>
      </c>
      <c r="B23" s="17" t="s">
        <v>51</v>
      </c>
      <c r="C23" s="17" t="s">
        <v>137</v>
      </c>
      <c r="D23" s="17" t="s">
        <v>404</v>
      </c>
      <c r="E23" s="18">
        <v>1008101</v>
      </c>
      <c r="F23" s="18">
        <f t="shared" si="0"/>
        <v>200000</v>
      </c>
      <c r="G23" s="18">
        <v>120000</v>
      </c>
      <c r="H23" s="18">
        <v>200000</v>
      </c>
      <c r="I23" s="18">
        <v>0</v>
      </c>
      <c r="J23" s="18">
        <f t="shared" si="1"/>
        <v>339770</v>
      </c>
      <c r="K23" s="18">
        <f t="shared" si="2"/>
        <v>1130900</v>
      </c>
      <c r="L23" s="19" t="s">
        <v>401</v>
      </c>
      <c r="M23" s="19" t="s">
        <v>53</v>
      </c>
      <c r="N23" s="19" t="s">
        <v>80</v>
      </c>
    </row>
    <row r="24" ht="42.75" spans="1:14">
      <c r="A24" s="17">
        <v>20</v>
      </c>
      <c r="B24" s="17" t="s">
        <v>51</v>
      </c>
      <c r="C24" s="17" t="s">
        <v>137</v>
      </c>
      <c r="D24" s="17" t="s">
        <v>405</v>
      </c>
      <c r="E24" s="18">
        <v>1508101</v>
      </c>
      <c r="F24" s="18">
        <f t="shared" si="0"/>
        <v>500000</v>
      </c>
      <c r="G24" s="18">
        <v>150000</v>
      </c>
      <c r="H24" s="18">
        <v>200000</v>
      </c>
      <c r="I24" s="18">
        <v>0</v>
      </c>
      <c r="J24" s="18">
        <f t="shared" si="1"/>
        <v>489770</v>
      </c>
      <c r="K24" s="18">
        <f t="shared" si="2"/>
        <v>1330900</v>
      </c>
      <c r="L24" s="19" t="s">
        <v>401</v>
      </c>
      <c r="M24" s="19" t="s">
        <v>53</v>
      </c>
      <c r="N24" s="19" t="s">
        <v>80</v>
      </c>
    </row>
    <row r="25" ht="42.75" spans="1:14">
      <c r="A25" s="17">
        <v>21</v>
      </c>
      <c r="B25" s="17" t="s">
        <v>51</v>
      </c>
      <c r="C25" s="17" t="s">
        <v>146</v>
      </c>
      <c r="D25" s="17" t="s">
        <v>406</v>
      </c>
      <c r="E25" s="18">
        <v>2008101</v>
      </c>
      <c r="F25" s="18">
        <f t="shared" si="0"/>
        <v>500000</v>
      </c>
      <c r="G25" s="18">
        <v>200000</v>
      </c>
      <c r="H25" s="18">
        <v>400000</v>
      </c>
      <c r="I25" s="18">
        <v>0</v>
      </c>
      <c r="J25" s="18">
        <f t="shared" si="1"/>
        <v>689770</v>
      </c>
      <c r="K25" s="18">
        <f t="shared" si="2"/>
        <v>1730900</v>
      </c>
      <c r="L25" s="19" t="s">
        <v>401</v>
      </c>
      <c r="M25" s="19" t="s">
        <v>53</v>
      </c>
      <c r="N25" s="19" t="s">
        <v>148</v>
      </c>
    </row>
    <row r="26" ht="42.75" spans="1:14">
      <c r="A26" s="17">
        <v>22</v>
      </c>
      <c r="B26" s="17" t="s">
        <v>51</v>
      </c>
      <c r="C26" s="17" t="s">
        <v>146</v>
      </c>
      <c r="D26" s="17" t="s">
        <v>407</v>
      </c>
      <c r="E26" s="18">
        <v>3008101</v>
      </c>
      <c r="F26" s="18">
        <f t="shared" si="0"/>
        <v>1000000</v>
      </c>
      <c r="G26" s="18">
        <v>250000</v>
      </c>
      <c r="H26" s="18">
        <v>500000</v>
      </c>
      <c r="I26" s="18">
        <v>0</v>
      </c>
      <c r="J26" s="18">
        <f t="shared" si="1"/>
        <v>939770</v>
      </c>
      <c r="K26" s="18">
        <f t="shared" si="2"/>
        <v>2230900</v>
      </c>
      <c r="L26" s="19" t="s">
        <v>401</v>
      </c>
      <c r="M26" s="19" t="s">
        <v>53</v>
      </c>
      <c r="N26" s="19" t="s">
        <v>80</v>
      </c>
    </row>
    <row r="27" ht="42.75" spans="1:14">
      <c r="A27" s="17">
        <v>23</v>
      </c>
      <c r="B27" s="17" t="s">
        <v>51</v>
      </c>
      <c r="C27" s="17" t="s">
        <v>146</v>
      </c>
      <c r="D27" s="17" t="s">
        <v>408</v>
      </c>
      <c r="E27" s="18">
        <v>4008101</v>
      </c>
      <c r="F27" s="18">
        <f t="shared" si="0"/>
        <v>1000000</v>
      </c>
      <c r="G27" s="18">
        <v>300000</v>
      </c>
      <c r="H27" s="18">
        <v>600000</v>
      </c>
      <c r="I27" s="18">
        <v>0</v>
      </c>
      <c r="J27" s="18">
        <f t="shared" si="1"/>
        <v>1239770</v>
      </c>
      <c r="K27" s="18">
        <f t="shared" si="2"/>
        <v>2830900</v>
      </c>
      <c r="L27" s="19" t="s">
        <v>401</v>
      </c>
      <c r="M27" s="19" t="s">
        <v>53</v>
      </c>
      <c r="N27" s="19" t="s">
        <v>80</v>
      </c>
    </row>
    <row r="28" ht="42.75" spans="1:14">
      <c r="A28" s="17">
        <v>24</v>
      </c>
      <c r="B28" s="17" t="s">
        <v>51</v>
      </c>
      <c r="C28" s="17" t="s">
        <v>146</v>
      </c>
      <c r="D28" s="17" t="s">
        <v>409</v>
      </c>
      <c r="E28" s="18">
        <v>5008101</v>
      </c>
      <c r="F28" s="18">
        <f t="shared" si="0"/>
        <v>1000000</v>
      </c>
      <c r="G28" s="18">
        <v>350000</v>
      </c>
      <c r="H28" s="18">
        <v>700000</v>
      </c>
      <c r="I28" s="18">
        <v>0</v>
      </c>
      <c r="J28" s="18">
        <f t="shared" si="1"/>
        <v>1589770</v>
      </c>
      <c r="K28" s="18">
        <f t="shared" si="2"/>
        <v>3530900</v>
      </c>
      <c r="L28" s="19" t="s">
        <v>401</v>
      </c>
      <c r="M28" s="19" t="s">
        <v>53</v>
      </c>
      <c r="N28" s="19" t="s">
        <v>80</v>
      </c>
    </row>
    <row r="29" ht="42.75" spans="1:14">
      <c r="A29" s="17">
        <v>25</v>
      </c>
      <c r="B29" s="17" t="s">
        <v>51</v>
      </c>
      <c r="C29" s="17" t="s">
        <v>146</v>
      </c>
      <c r="D29" s="17" t="s">
        <v>410</v>
      </c>
      <c r="E29" s="18">
        <v>6008101</v>
      </c>
      <c r="F29" s="18">
        <f t="shared" si="0"/>
        <v>1000000</v>
      </c>
      <c r="G29" s="18">
        <v>400000</v>
      </c>
      <c r="H29" s="18">
        <v>800000</v>
      </c>
      <c r="I29" s="18">
        <v>0</v>
      </c>
      <c r="J29" s="18">
        <f t="shared" si="1"/>
        <v>1989770</v>
      </c>
      <c r="K29" s="18">
        <f t="shared" si="2"/>
        <v>4330900</v>
      </c>
      <c r="L29" s="19" t="s">
        <v>401</v>
      </c>
      <c r="M29" s="19" t="s">
        <v>53</v>
      </c>
      <c r="N29" s="19" t="s">
        <v>80</v>
      </c>
    </row>
    <row r="31" ht="32" customHeight="1" spans="1:14">
      <c r="A31" s="20" t="s">
        <v>154</v>
      </c>
      <c r="B31" s="20"/>
      <c r="C31" s="20"/>
      <c r="D31" s="20"/>
      <c r="E31" s="20"/>
      <c r="F31" s="20"/>
      <c r="G31" s="21">
        <f>SUM(G5:G29)</f>
        <v>1989770</v>
      </c>
      <c r="H31" s="21">
        <f>SUM(H5:H29)</f>
        <v>4330900</v>
      </c>
      <c r="I31" s="21">
        <f>SUM(I5:I29)</f>
        <v>4</v>
      </c>
      <c r="J31" s="20" t="s">
        <v>155</v>
      </c>
      <c r="K31" s="20"/>
      <c r="L31" s="20"/>
      <c r="M31" s="20"/>
      <c r="N31" s="20"/>
    </row>
    <row r="34" ht="28" customHeight="1" spans="1:7">
      <c r="A34" s="4"/>
      <c r="B34" s="4"/>
      <c r="C34" s="4"/>
      <c r="D34" s="4"/>
      <c r="E34" s="4"/>
      <c r="F34" s="4"/>
      <c r="G34" s="4"/>
    </row>
    <row r="35" ht="15" spans="1:7">
      <c r="A35" s="22"/>
      <c r="B35" s="22"/>
      <c r="C35" s="22"/>
      <c r="D35" s="22"/>
      <c r="E35" s="22"/>
      <c r="F35" s="22"/>
      <c r="G35" s="22"/>
    </row>
    <row r="36" spans="1:7">
      <c r="A36" s="23"/>
      <c r="B36" s="23"/>
      <c r="C36" s="23"/>
      <c r="D36" s="23"/>
      <c r="E36" s="23"/>
      <c r="F36" s="23"/>
      <c r="G36" s="23"/>
    </row>
    <row r="37" spans="1:7">
      <c r="A37" s="24"/>
      <c r="B37" s="24"/>
      <c r="C37" s="24"/>
      <c r="D37" s="24"/>
      <c r="E37" s="24"/>
      <c r="F37" s="24"/>
      <c r="G37" s="24"/>
    </row>
    <row r="38" spans="1:7">
      <c r="A38" s="23"/>
      <c r="B38" s="23"/>
      <c r="C38" s="23"/>
      <c r="D38" s="23"/>
      <c r="E38" s="23"/>
      <c r="F38" s="23"/>
      <c r="G38" s="23"/>
    </row>
    <row r="39" spans="1:7">
      <c r="A39" s="24"/>
      <c r="B39" s="24"/>
      <c r="C39" s="24"/>
      <c r="D39" s="24"/>
      <c r="E39" s="24"/>
      <c r="F39" s="24"/>
      <c r="G39" s="24"/>
    </row>
    <row r="40" spans="1:7">
      <c r="A40" s="23"/>
      <c r="B40" s="23"/>
      <c r="C40" s="23"/>
      <c r="D40" s="23"/>
      <c r="E40" s="23"/>
      <c r="F40" s="23"/>
      <c r="G40" s="23"/>
    </row>
  </sheetData>
  <mergeCells count="6">
    <mergeCell ref="A1:N1"/>
    <mergeCell ref="A2:N2"/>
    <mergeCell ref="P4:V4"/>
    <mergeCell ref="A31:F31"/>
    <mergeCell ref="J31:N31"/>
    <mergeCell ref="A34:G3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路线总览</vt:lpstr>
      <vt:lpstr>死亡路线</vt:lpstr>
      <vt:lpstr>魔能路线</vt:lpstr>
      <vt:lpstr>雷电路线</vt:lpstr>
      <vt:lpstr>赏金路线</vt:lpstr>
      <vt:lpstr>多重路线</vt:lpstr>
      <vt:lpstr>冰霜路线</vt:lpstr>
      <vt:lpstr>防空路线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臧孝飞</cp:lastModifiedBy>
  <dcterms:created xsi:type="dcterms:W3CDTF">2026-07-30T04:56:00Z</dcterms:created>
  <dcterms:modified xsi:type="dcterms:W3CDTF">2026-07-31T13:42:21Z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B21EAABD801048808C83136D05286980_12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