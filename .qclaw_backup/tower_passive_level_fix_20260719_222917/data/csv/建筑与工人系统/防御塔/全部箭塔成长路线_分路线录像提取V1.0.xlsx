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469f0ba97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线总览" sheetId="1" r:id="Rf151523d18774eec"/>
    <x:sheet xmlns:r="http://schemas.openxmlformats.org/officeDocument/2006/relationships" name="死亡路线" sheetId="2" r:id="Ra1ee977a457d4cc4"/>
    <x:sheet xmlns:r="http://schemas.openxmlformats.org/officeDocument/2006/relationships" name="魔能路线" sheetId="3" r:id="R174e7d7b10e9487b"/>
    <x:sheet xmlns:r="http://schemas.openxmlformats.org/officeDocument/2006/relationships" name="雷电路线" sheetId="4" r:id="Rd2c665d2313b4f2f"/>
    <x:sheet xmlns:r="http://schemas.openxmlformats.org/officeDocument/2006/relationships" name="赏金路线" sheetId="5" r:id="R0a17804c47ee4e54"/>
    <x:sheet xmlns:r="http://schemas.openxmlformats.org/officeDocument/2006/relationships" name="多重路线" sheetId="6" r:id="R5fc9760664ef4f00"/>
    <x:sheet xmlns:r="http://schemas.openxmlformats.org/officeDocument/2006/relationships" name="冰霜路线" sheetId="7" r:id="R8e5136b69d644c25"/>
    <x:sheet xmlns:r="http://schemas.openxmlformats.org/officeDocument/2006/relationships" name="防空路线" sheetId="8" r:id="R321addddd04140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</x:fonts>
  <x:fills count="3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03864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  <x:fill>
      <x:patternFill patternType="solid">
        <x:fgColor rgb="FFA9D18E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404040"/>
      </x:patternFill>
    </x:fill>
    <x:fill>
      <x:patternFill patternType="solid">
        <x:fgColor rgb="FF7030A0"/>
      </x:patternFill>
    </x:fill>
    <x:fill>
      <x:patternFill patternType="solid">
        <x:fgColor rgb="FF4472C4"/>
      </x:patternFill>
    </x:fill>
    <x:fill>
      <x:patternFill patternType="solid">
        <x:fgColor rgb="FFBF9000"/>
      </x:patternFill>
    </x:fill>
    <x:fill>
      <x:patternFill patternType="solid">
        <x:fgColor rgb="FFC00000"/>
      </x:patternFill>
    </x:fill>
    <x:fill>
      <x:patternFill patternType="solid">
        <x:fgColor rgb="FF5B9BD5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  <x:fill>
      <x:patternFill patternType="solid">
        <x:fgColor rgb="FF7030A0"/>
      </x:patternFill>
    </x:fill>
    <x:fill>
      <x:patternFill patternType="solid">
        <x:fgColor rgb="FF4472C4"/>
      </x:patternFill>
    </x:fill>
    <x:fill>
      <x:patternFill patternType="solid">
        <x:fgColor rgb="FFBF9000"/>
      </x:patternFill>
    </x:fill>
    <x:fill>
      <x:patternFill patternType="solid">
        <x:fgColor rgb="FFC00000"/>
      </x:patternFill>
    </x:fill>
    <x:fill>
      <x:patternFill patternType="solid">
        <x:fgColor rgb="FF5B9BD5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2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200" fontId="0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200" fontId="0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horizontal="center" vertical="center" wrapText="1"/>
    </x:xf>
    <x:xf numFmtId="200" fontId="0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horizontal="center" vertical="center" wrapText="1"/>
    </x:xf>
    <x:xf numFmtId="200" fontId="0" fillId="11" borderId="1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horizontal="center" vertical="center" wrapText="1"/>
    </x:xf>
    <x:xf numFmtId="200" fontId="0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 applyAlignment="1">
      <x:alignment horizontal="center" vertical="center" wrapText="1"/>
    </x:xf>
    <x:xf numFmtId="200" fontId="0" fillId="12" borderId="1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200" fontId="0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 applyAlignment="1">
      <x:alignment horizontal="center" vertical="center" wrapText="1"/>
    </x:xf>
    <x:xf numFmtId="200" fontId="0" fillId="13" borderId="1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3" fillId="14" borderId="1" xfId="0" applyNumberFormat="1" applyFont="1" applyFill="1" applyBorder="1"/>
    <x:xf numFmtId="0" fontId="3" fillId="14" borderId="1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horizont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200" fontId="3" fillId="14" borderId="0" xfId="0" applyNumberFormat="1" applyFont="1" applyFill="1" applyBorder="1" applyAlignment="1">
      <x:alignment horizontal="center" vertical="center" wrapText="1"/>
    </x:xf>
    <x:xf numFmtId="200" fontId="3" fillId="14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/>
    <x:xf numFmtId="0" fontId="2" fillId="15" borderId="1" xfId="0" applyNumberFormat="1" applyFont="1" applyFill="1" applyBorder="1"/>
    <x:xf numFmtId="0" fontId="2" fillId="15" borderId="1" xfId="0" applyNumberFormat="1" applyFont="1" applyFill="1" applyBorder="1" applyAlignment="1">
      <x:alignment wrapText="1"/>
    </x:xf>
    <x:xf numFmtId="0" fontId="2" fillId="15" borderId="1" xfId="0" applyNumberFormat="1" applyFont="1" applyFill="1" applyBorder="1" applyAlignment="1">
      <x:alignment horizontal="center" wrapText="1"/>
    </x:xf>
    <x:xf numFmtId="0" fontId="2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vertical="center"/>
    </x:xf>
    <x:xf numFmtId="0" fontId="0" fillId="16" borderId="1" xfId="0" applyNumberFormat="1" applyFont="1" applyFill="1" applyBorder="1"/>
    <x:xf numFmtId="0" fontId="1" fillId="16" borderId="1" xfId="0" applyNumberFormat="1" applyFont="1" applyFill="1" applyBorder="1"/>
    <x:xf numFmtId="0" fontId="1" fillId="16" borderId="1" xfId="0" applyNumberFormat="1" applyFont="1" applyFill="1" applyBorder="1" applyAlignment="1">
      <x:alignment horizontal="center"/>
    </x:xf>
    <x:xf numFmtId="0" fontId="1" fillId="16" borderId="1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1" xfId="0" applyNumberFormat="1" applyFont="1" applyFill="1" applyBorder="1"/>
    <x:xf numFmtId="0" fontId="4" fillId="16" borderId="1" xfId="0" applyNumberFormat="1" applyFont="1" applyFill="1" applyBorder="1" applyAlignment="1">
      <x:alignment horizontal="center"/>
    </x:xf>
    <x:xf numFmtId="0" fontId="4" fillId="16" borderId="1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7" borderId="1" xfId="0" applyNumberFormat="1" applyFont="1" applyFill="1" applyBorder="1"/>
    <x:xf numFmtId="0" fontId="1" fillId="17" borderId="1" xfId="0" applyNumberFormat="1" applyFont="1" applyFill="1" applyBorder="1"/>
    <x:xf numFmtId="0" fontId="1" fillId="17" borderId="1" xfId="0" applyNumberFormat="1" applyFont="1" applyFill="1" applyBorder="1" applyAlignment="1">
      <x:alignment horizontal="center"/>
    </x:xf>
    <x:xf numFmtId="0" fontId="1" fillId="17" borderId="1" xfId="0" applyNumberFormat="1" applyFont="1" applyFill="1" applyBorder="1" applyAlignment="1">
      <x:alignment horizontal="center" vertical="center"/>
    </x:xf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horizontal="center"/>
    </x:xf>
    <x:xf numFmtId="0" fontId="4" fillId="17" borderId="0" xfId="0" applyNumberFormat="1" applyFont="1" applyFill="1" applyBorder="1" applyAlignment="1">
      <x:alignment horizontal="center" vertical="center"/>
    </x:xf>
    <x:xf numFmtId="0" fontId="4" fillId="17" borderId="1" xfId="0" applyNumberFormat="1" applyFont="1" applyFill="1" applyBorder="1"/>
    <x:xf numFmtId="0" fontId="4" fillId="17" borderId="1" xfId="0" applyNumberFormat="1" applyFont="1" applyFill="1" applyBorder="1" applyAlignment="1">
      <x:alignment horizontal="center"/>
    </x:xf>
    <x:xf numFmtId="0" fontId="4" fillId="17" borderId="1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center"/>
    </x:xf>
    <x:xf numFmtId="0" fontId="1" fillId="18" borderId="0" xfId="0" applyNumberFormat="1" applyFont="1" applyFill="1" applyBorder="1" applyAlignment="1">
      <x:alignment horizontal="center" vertical="center"/>
    </x:xf>
    <x:xf numFmtId="0" fontId="0" fillId="18" borderId="1" xfId="0" applyNumberFormat="1" applyFont="1" applyFill="1" applyBorder="1"/>
    <x:xf numFmtId="0" fontId="1" fillId="18" borderId="1" xfId="0" applyNumberFormat="1" applyFont="1" applyFill="1" applyBorder="1"/>
    <x:xf numFmtId="0" fontId="1" fillId="18" borderId="1" xfId="0" applyNumberFormat="1" applyFont="1" applyFill="1" applyBorder="1" applyAlignment="1">
      <x:alignment horizontal="center"/>
    </x:xf>
    <x:xf numFmtId="0" fontId="1" fillId="18" borderId="1" xfId="0" applyNumberFormat="1" applyFont="1" applyFill="1" applyBorder="1" applyAlignment="1">
      <x:alignment horizontal="center" vertical="center"/>
    </x:xf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horizontal="center"/>
    </x:xf>
    <x:xf numFmtId="0" fontId="4" fillId="18" borderId="0" xfId="0" applyNumberFormat="1" applyFont="1" applyFill="1" applyBorder="1" applyAlignment="1">
      <x:alignment horizontal="center" vertical="center"/>
    </x:xf>
    <x:xf numFmtId="0" fontId="4" fillId="18" borderId="1" xfId="0" applyNumberFormat="1" applyFont="1" applyFill="1" applyBorder="1"/>
    <x:xf numFmtId="0" fontId="4" fillId="18" borderId="1" xfId="0" applyNumberFormat="1" applyFont="1" applyFill="1" applyBorder="1" applyAlignment="1">
      <x:alignment horizontal="center"/>
    </x:xf>
    <x:xf numFmtId="0" fontId="4" fillId="18" borderId="1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center"/>
    </x:xf>
    <x:xf numFmtId="0" fontId="1" fillId="19" borderId="0" xfId="0" applyNumberFormat="1" applyFont="1" applyFill="1" applyBorder="1" applyAlignment="1">
      <x:alignment horizontal="center" vertical="center"/>
    </x:xf>
    <x:xf numFmtId="0" fontId="0" fillId="19" borderId="1" xfId="0" applyNumberFormat="1" applyFont="1" applyFill="1" applyBorder="1"/>
    <x:xf numFmtId="0" fontId="1" fillId="19" borderId="1" xfId="0" applyNumberFormat="1" applyFont="1" applyFill="1" applyBorder="1"/>
    <x:xf numFmtId="0" fontId="1" fillId="19" borderId="1" xfId="0" applyNumberFormat="1" applyFont="1" applyFill="1" applyBorder="1" applyAlignment="1">
      <x:alignment horizontal="center"/>
    </x:xf>
    <x:xf numFmtId="0" fontId="1" fillId="19" borderId="1" xfId="0" applyNumberFormat="1" applyFont="1" applyFill="1" applyBorder="1" applyAlignment="1">
      <x:alignment horizontal="center" vertical="center"/>
    </x:xf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horizontal="center"/>
    </x:xf>
    <x:xf numFmtId="0" fontId="4" fillId="19" borderId="0" xfId="0" applyNumberFormat="1" applyFont="1" applyFill="1" applyBorder="1" applyAlignment="1">
      <x:alignment horizontal="center" vertical="center"/>
    </x:xf>
    <x:xf numFmtId="0" fontId="4" fillId="19" borderId="1" xfId="0" applyNumberFormat="1" applyFont="1" applyFill="1" applyBorder="1"/>
    <x:xf numFmtId="0" fontId="4" fillId="19" borderId="1" xfId="0" applyNumberFormat="1" applyFont="1" applyFill="1" applyBorder="1" applyAlignment="1">
      <x:alignment horizontal="center"/>
    </x:xf>
    <x:xf numFmtId="0" fontId="4" fillId="19" borderId="1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 applyAlignment="1">
      <x:alignment horizontal="center" vertical="center"/>
    </x:xf>
    <x:xf numFmtId="0" fontId="0" fillId="20" borderId="1" xfId="0" applyNumberFormat="1" applyFont="1" applyFill="1" applyBorder="1"/>
    <x:xf numFmtId="0" fontId="1" fillId="20" borderId="1" xfId="0" applyNumberFormat="1" applyFont="1" applyFill="1" applyBorder="1"/>
    <x:xf numFmtId="0" fontId="1" fillId="20" borderId="1" xfId="0" applyNumberFormat="1" applyFont="1" applyFill="1" applyBorder="1" applyAlignment="1">
      <x:alignment horizontal="center"/>
    </x:xf>
    <x:xf numFmtId="0" fontId="1" fillId="20" borderId="1" xfId="0" applyNumberFormat="1" applyFont="1" applyFill="1" applyBorder="1" applyAlignment="1">
      <x:alignment horizontal="center" vertical="center"/>
    </x:xf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horizontal="center"/>
    </x:xf>
    <x:xf numFmtId="0" fontId="4" fillId="20" borderId="0" xfId="0" applyNumberFormat="1" applyFont="1" applyFill="1" applyBorder="1" applyAlignment="1">
      <x:alignment horizontal="center" vertical="center"/>
    </x:xf>
    <x:xf numFmtId="0" fontId="4" fillId="20" borderId="1" xfId="0" applyNumberFormat="1" applyFont="1" applyFill="1" applyBorder="1"/>
    <x:xf numFmtId="0" fontId="4" fillId="20" borderId="1" xfId="0" applyNumberFormat="1" applyFont="1" applyFill="1" applyBorder="1" applyAlignment="1">
      <x:alignment horizontal="center"/>
    </x:xf>
    <x:xf numFmtId="0" fontId="4" fillId="20" borderId="1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center"/>
    </x:xf>
    <x:xf numFmtId="0" fontId="1" fillId="21" borderId="0" xfId="0" applyNumberFormat="1" applyFont="1" applyFill="1" applyBorder="1" applyAlignment="1">
      <x:alignment horizontal="center" vertical="center"/>
    </x:xf>
    <x:xf numFmtId="0" fontId="0" fillId="21" borderId="1" xfId="0" applyNumberFormat="1" applyFont="1" applyFill="1" applyBorder="1"/>
    <x:xf numFmtId="0" fontId="1" fillId="21" borderId="1" xfId="0" applyNumberFormat="1" applyFont="1" applyFill="1" applyBorder="1"/>
    <x:xf numFmtId="0" fontId="1" fillId="21" borderId="1" xfId="0" applyNumberFormat="1" applyFont="1" applyFill="1" applyBorder="1" applyAlignment="1">
      <x:alignment horizontal="center"/>
    </x:xf>
    <x:xf numFmtId="0" fontId="1" fillId="21" borderId="1" xfId="0" applyNumberFormat="1" applyFont="1" applyFill="1" applyBorder="1" applyAlignment="1">
      <x:alignment horizontal="center" vertical="center"/>
    </x:xf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horizontal="center"/>
    </x:xf>
    <x:xf numFmtId="0" fontId="4" fillId="21" borderId="0" xfId="0" applyNumberFormat="1" applyFont="1" applyFill="1" applyBorder="1" applyAlignment="1">
      <x:alignment horizontal="center" vertical="center"/>
    </x:xf>
    <x:xf numFmtId="0" fontId="4" fillId="21" borderId="1" xfId="0" applyNumberFormat="1" applyFont="1" applyFill="1" applyBorder="1"/>
    <x:xf numFmtId="0" fontId="4" fillId="21" borderId="1" xfId="0" applyNumberFormat="1" applyFont="1" applyFill="1" applyBorder="1" applyAlignment="1">
      <x:alignment horizontal="center"/>
    </x:xf>
    <x:xf numFmtId="0" fontId="4" fillId="21" borderId="1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0" xfId="0" applyNumberFormat="1" applyFont="1" applyFill="1" applyBorder="1" applyAlignment="1">
      <x:alignment horizontal="center"/>
    </x:xf>
    <x:xf numFmtId="0" fontId="4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xfId="0" applyNumberFormat="1" applyFont="1" applyFill="1" applyBorder="0"/>
    <x:xf numFmtId="0" fontId="2" fillId="23" xfId="0" applyNumberFormat="1" applyFont="1" applyFill="1" applyBorder="0" applyAlignment="1">
      <x:alignment wrapText="1"/>
    </x:xf>
    <x:xf numFmtId="0" fontId="2" fillId="23" xfId="0" applyNumberFormat="1" applyFont="1" applyFill="1" applyBorder="0" applyAlignment="1">
      <x:alignment horizontal="center" wrapText="1"/>
    </x:xf>
    <x:xf numFmtId="0" fontId="2" fillId="2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5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horizontal="center"/>
    </x:xf>
    <x:xf numFmtId="0" fontId="4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4" fillId="27" borderId="0" xfId="0" applyNumberFormat="1" applyFont="1" applyFill="1" applyBorder="1"/>
    <x:xf numFmtId="0" fontId="4" fillId="27" borderId="0" xfId="0" applyNumberFormat="1" applyFont="1" applyFill="1" applyBorder="1" applyAlignment="1">
      <x:alignment horizontal="center"/>
    </x:xf>
    <x:xf numFmtId="0" fontId="4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0" xfId="0" applyNumberFormat="1" applyFont="1" applyFill="1" applyBorder="1" applyAlignment="1">
      <x:alignment horizontal="center"/>
    </x:xf>
    <x:xf numFmtId="0" fontId="4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0" fontId="4" fillId="29" borderId="0" xfId="0" applyNumberFormat="1" applyFont="1" applyFill="1" applyBorder="1"/>
    <x:xf numFmtId="0" fontId="4" fillId="29" borderId="0" xfId="0" applyNumberFormat="1" applyFont="1" applyFill="1" applyBorder="1" applyAlignment="1">
      <x:alignment horizontal="center"/>
    </x:xf>
    <x:xf numFmtId="0" fontId="4" fillId="29" borderId="0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horizontal="center"/>
    </x:xf>
    <x:xf numFmtId="0" fontId="4" fillId="30" borderId="0" xfId="0" applyNumberFormat="1" applyFont="1" applyFill="1" applyBorder="1" applyAlignment="1">
      <x:alignment horizontal="center" vertical="center"/>
    </x:xf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4" fillId="31" borderId="0" xfId="0" applyNumberFormat="1" applyFont="1" applyFill="1" applyBorder="1" applyAlignment="1">
      <x:alignment horizontal="center"/>
    </x:xf>
    <x:xf numFmtId="0" fontId="4" fillId="31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66c5646694e47" /><Relationship Type="http://schemas.openxmlformats.org/officeDocument/2006/relationships/theme" Target="/xl/theme/theme1.xml" Id="R301e7cc6c7c94bd4" /><Relationship Type="http://schemas.openxmlformats.org/officeDocument/2006/relationships/sharedStrings" Target="/xl/sharedStrings.xml" Id="Rd9a354eb53d743d9" /><Relationship Type="http://schemas.openxmlformats.org/officeDocument/2006/relationships/worksheet" Target="/xl/worksheets/sheet1.xml" Id="Rf151523d18774eec" /><Relationship Type="http://schemas.openxmlformats.org/officeDocument/2006/relationships/worksheet" Target="/xl/worksheets/sheet2.xml" Id="Ra1ee977a457d4cc4" /><Relationship Type="http://schemas.openxmlformats.org/officeDocument/2006/relationships/worksheet" Target="/xl/worksheets/sheet3.xml" Id="R174e7d7b10e9487b" /><Relationship Type="http://schemas.openxmlformats.org/officeDocument/2006/relationships/worksheet" Target="/xl/worksheets/sheet4.xml" Id="Rd2c665d2313b4f2f" /><Relationship Type="http://schemas.openxmlformats.org/officeDocument/2006/relationships/worksheet" Target="/xl/worksheets/sheet5.xml" Id="R0a17804c47ee4e54" /><Relationship Type="http://schemas.openxmlformats.org/officeDocument/2006/relationships/worksheet" Target="/xl/worksheets/sheet6.xml" Id="R5fc9760664ef4f00" /><Relationship Type="http://schemas.openxmlformats.org/officeDocument/2006/relationships/worksheet" Target="/xl/worksheets/sheet7.xml" Id="R8e5136b69d644c25" /><Relationship Type="http://schemas.openxmlformats.org/officeDocument/2006/relationships/worksheet" Target="/xl/worksheets/sheet8.xml" Id="R321addddd04140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  <x:col min="6" max="6" width="65" hidden="0" customWidth="1"/>
    <x:col min="7" max="7" width="22" hidden="0" customWidth="1"/>
    <x:col min="8" max="8" width="16" hidden="0" customWidth="1"/>
  </x:cols>
  <x:sheetData>
    <x:row r="1" ht="32" customHeight="1">
      <x:c r="A1" s="5" t="str">
        <x:v>全部箭塔成长路线：分路线录像提取总览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2" t="str">
        <x:v>每条成长路线已经单独放在一个工作表中。数值口径：攻击力取升级完成后的首个稳定读数；升级成本按“升级到本级”的金币/木材/人口记录；已知每秒+4攻击力不计入基础成长表。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序号</x:v>
      </x:c>
      <x:c r="B4" s="20" t="str">
        <x:v>成长路线</x:v>
      </x:c>
      <x:c r="C4" s="20" t="str">
        <x:v>N阶段</x:v>
      </x:c>
      <x:c r="D4" s="20" t="str">
        <x:v>R阶段</x:v>
      </x:c>
      <x:c r="E4" s="20" t="str">
        <x:v>最终阶段</x:v>
      </x:c>
      <x:c r="F4" s="20" t="str">
        <x:v>录像来源</x:v>
      </x:c>
      <x:c r="G4" s="20" t="str">
        <x:v>时间范围</x:v>
      </x:c>
      <x:c r="H4" s="20" t="str">
        <x:v>工作表</x:v>
      </x:c>
    </x:row>
    <x:row r="5">
      <x:c r="A5" s="31" t="n">
        <x:v>1</x:v>
      </x:c>
      <x:c r="B5" s="31" t="str">
        <x:v>箭塔 → 死亡之塔 → 碎骨重炮 → 死神榴弹炮</x:v>
      </x:c>
      <x:c r="C5" s="31" t="str">
        <x:v>死亡之塔</x:v>
      </x:c>
      <x:c r="D5" s="31" t="str">
        <x:v>碎骨重炮</x:v>
      </x:c>
      <x:c r="E5" s="31" t="str">
        <x:v>死神榴弹炮</x:v>
      </x:c>
      <x:c r="F5" s="31" t="str">
        <x:v>War3 2026-07-19 12-34-30-146.mp4；War3 2026-07-19 12-36-23-614.mp4</x:v>
      </x:c>
      <x:c r="G5" s="31" t="str">
        <x:v>完整两段录像</x:v>
      </x:c>
      <x:c r="H5" s="31" t="str">
        <x:v>死亡路线</x:v>
      </x:c>
    </x:row>
    <x:row r="6">
      <x:c r="A6" s="33" t="n">
        <x:v>2</x:v>
      </x:c>
      <x:c r="B6" s="33" t="str">
        <x:v>箭塔 → 神秘之塔 → 魔能炮 → 魔能之眼</x:v>
      </x:c>
      <x:c r="C6" s="33" t="str">
        <x:v>神秘之塔</x:v>
      </x:c>
      <x:c r="D6" s="33" t="str">
        <x:v>魔能炮</x:v>
      </x:c>
      <x:c r="E6" s="33" t="str">
        <x:v>魔能之眼</x:v>
      </x:c>
      <x:c r="F6" s="33" t="str">
        <x:v>bandicam 2026-07-19 13-06-14-620_20260719_14204603.mp4</x:v>
      </x:c>
      <x:c r="G6" s="33" t="str">
        <x:v>约24秒—145秒</x:v>
      </x:c>
      <x:c r="H6" s="33" t="str">
        <x:v>魔能路线</x:v>
      </x:c>
    </x:row>
    <x:row r="7">
      <x:c r="A7" s="31" t="n">
        <x:v>3</x:v>
      </x:c>
      <x:c r="B7" s="31" t="str">
        <x:v>箭塔 → 闪电塔 → 闪电魔塔 → 雷电扩散</x:v>
      </x:c>
      <x:c r="C7" s="31" t="str">
        <x:v>闪电塔</x:v>
      </x:c>
      <x:c r="D7" s="31" t="str">
        <x:v>闪电魔塔</x:v>
      </x:c>
      <x:c r="E7" s="31" t="str">
        <x:v>雷电扩散</x:v>
      </x:c>
      <x:c r="F7" s="31" t="str">
        <x:v>bandicam 2026-07-19 13-06-14-620_20260719_14204603.mp4</x:v>
      </x:c>
      <x:c r="G7" s="31" t="str">
        <x:v>约147秒—253秒</x:v>
      </x:c>
      <x:c r="H7" s="31" t="str">
        <x:v>雷电路线</x:v>
      </x:c>
    </x:row>
    <x:row r="8">
      <x:c r="A8" s="33" t="n">
        <x:v>4</x:v>
      </x:c>
      <x:c r="B8" s="33" t="str">
        <x:v>箭塔 → 机枪塔 → 赏金机枪 → 爆矢加特林</x:v>
      </x:c>
      <x:c r="C8" s="33" t="str">
        <x:v>机枪塔</x:v>
      </x:c>
      <x:c r="D8" s="33" t="str">
        <x:v>赏金机枪</x:v>
      </x:c>
      <x:c r="E8" s="33" t="str">
        <x:v>爆矢加特林</x:v>
      </x:c>
      <x:c r="F8" s="33" t="str">
        <x:v>bandicam 2026-07-19 13-06-14-620_20260719_14204603.mp4</x:v>
      </x:c>
      <x:c r="G8" s="33" t="str">
        <x:v>约255秒—335秒</x:v>
      </x:c>
      <x:c r="H8" s="33" t="str">
        <x:v>赏金路线</x:v>
      </x:c>
    </x:row>
    <x:row r="9">
      <x:c r="A9" s="31" t="n">
        <x:v>5</x:v>
      </x:c>
      <x:c r="B9" s="31" t="str">
        <x:v>箭塔 → 多重塔 → 穿透弩炮 → 炙热巨箭塔</x:v>
      </x:c>
      <x:c r="C9" s="31" t="str">
        <x:v>多重塔</x:v>
      </x:c>
      <x:c r="D9" s="31" t="str">
        <x:v>穿透弩炮</x:v>
      </x:c>
      <x:c r="E9" s="31" t="str">
        <x:v>炙热巨箭塔</x:v>
      </x:c>
      <x:c r="F9" s="31" t="str">
        <x:v>bandicam 2026-07-19 13-06-14-620_20260719_14204603.mp4</x:v>
      </x:c>
      <x:c r="G9" s="31" t="str">
        <x:v>约336秒—411秒</x:v>
      </x:c>
      <x:c r="H9" s="31" t="str">
        <x:v>多重路线</x:v>
      </x:c>
    </x:row>
    <x:row r="10">
      <x:c r="A10" s="33" t="n">
        <x:v>6</x:v>
      </x:c>
      <x:c r="B10" s="33" t="str">
        <x:v>箭塔 → 冰霜之塔 → 寒冰尖塔 → 极地方尖碑</x:v>
      </x:c>
      <x:c r="C10" s="33" t="str">
        <x:v>冰霜之塔</x:v>
      </x:c>
      <x:c r="D10" s="33" t="str">
        <x:v>寒冰尖塔</x:v>
      </x:c>
      <x:c r="E10" s="33" t="str">
        <x:v>极地方尖碑</x:v>
      </x:c>
      <x:c r="F10" s="33" t="str">
        <x:v>bandicam 2026-07-19 13-06-14-620_20260719_14204603.mp4</x:v>
      </x:c>
      <x:c r="G10" s="33" t="str">
        <x:v>约411秒—504秒</x:v>
      </x:c>
      <x:c r="H10" s="33" t="str">
        <x:v>冰霜路线</x:v>
      </x:c>
    </x:row>
    <x:row r="11">
      <x:c r="A11" s="31" t="n">
        <x:v>7</x:v>
      </x:c>
      <x:c r="B11" s="31" t="str">
        <x:v>箭塔 → 防空炮 → 防空火炮 → 空域霸主</x:v>
      </x:c>
      <x:c r="C11" s="31" t="str">
        <x:v>防空炮</x:v>
      </x:c>
      <x:c r="D11" s="31" t="str">
        <x:v>防空火炮</x:v>
      </x:c>
      <x:c r="E11" s="31" t="str">
        <x:v>空域霸主</x:v>
      </x:c>
      <x:c r="F11" s="31" t="str">
        <x:v>bandicam 2026-07-19 13-06-14-620_20260719_14204603.mp4</x:v>
      </x:c>
      <x:c r="G11" s="31" t="str">
        <x:v>约504秒—600秒</x:v>
      </x:c>
      <x:c r="H11" s="31" t="str">
        <x:v>防空路线</x:v>
      </x:c>
    </x:row>
    <x:row r="14">
      <x:c r="A14" s="37" t="str">
        <x:v>共同数值与提取边界</x:v>
      </x:c>
      <x:c r="B14" s="37"/>
      <x:c r="C14" s="37"/>
      <x:c r="D14" s="37"/>
      <x:c r="E14" s="37"/>
      <x:c r="F14" s="37"/>
      <x:c r="G14" s="37"/>
      <x:c r="H14" s="37"/>
    </x:row>
    <x:row r="15">
      <x:c r="A15" s="42" t="str">
        <x:v>攻击/成本规律</x:v>
      </x:c>
      <x:c r="B15" s="28" t="str">
        <x:v>七条路线在箭塔、N、R、SR/SSR各级使用同一组攻击力和升级成本；差别集中在塔名与特殊技能。</x:v>
      </x:c>
      <x:c r="C15" s="28"/>
      <x:c r="D15" s="28"/>
      <x:c r="E15" s="28"/>
      <x:c r="F15" s="28"/>
      <x:c r="G15" s="28"/>
      <x:c r="H15" s="28"/>
    </x:row>
    <x:row r="16">
      <x:c r="A16" s="42" t="str">
        <x:v>每秒+4</x:v>
      </x:c>
      <x:c r="B16" s="28" t="str">
        <x:v>录像同级停留期间面板没有出现可见的+4跳变，本表采用升级完成后的首个稳定数值，不额外计入时间成长。</x:v>
      </x:c>
      <x:c r="C16" s="28"/>
      <x:c r="D16" s="28"/>
      <x:c r="E16" s="28"/>
      <x:c r="F16" s="28"/>
      <x:c r="G16" s="28"/>
      <x:c r="H16" s="28"/>
    </x:row>
    <x:row r="17">
      <x:c r="A17" s="42" t="str">
        <x:v>箭塔1-2</x:v>
      </x:c>
      <x:c r="B17" s="28" t="str">
        <x:v>箭塔1-1为172、1-2为251，录像差值为+79；保留实录，不擅自修整成整十数。</x:v>
      </x:c>
      <x:c r="C17" s="28"/>
      <x:c r="D17" s="28"/>
      <x:c r="E17" s="28"/>
      <x:c r="F17" s="28"/>
      <x:c r="G17" s="28"/>
      <x:c r="H17" s="28"/>
    </x:row>
    <x:row r="18">
      <x:c r="A18" s="42" t="str">
        <x:v>攻击尾数</x:v>
      </x:c>
      <x:c r="B18" s="28" t="str">
        <x:v>中高等级攻击力普遍以01结尾，可能与War3攻击骰/显示机制有关；本表保留原显示值，差值不受共同尾数影响。</x:v>
      </x:c>
      <x:c r="C18" s="28"/>
      <x:c r="D18" s="28"/>
      <x:c r="E18" s="28"/>
      <x:c r="F18" s="28"/>
      <x:c r="G18" s="28"/>
      <x:c r="H18" s="28"/>
    </x:row>
    <x:row r="19">
      <x:c r="A19" s="42" t="str">
        <x:v>技能等级偏移</x:v>
      </x:c>
      <x:c r="B19" s="28" t="str">
        <x:v>多条路线的转职按钮先展示基础值，而建成该路线LV1后技能直接显示等级2；两种文本均在各路线技能表中注明。</x:v>
      </x:c>
      <x:c r="C19" s="28"/>
      <x:c r="D19" s="28"/>
      <x:c r="E19" s="28"/>
      <x:c r="F19" s="28"/>
      <x:c r="G19" s="28"/>
      <x:c r="H19" s="28"/>
    </x:row>
  </x:sheetData>
  <x:mergeCells>
    <x:mergeCell ref="A1:H1"/>
    <x:mergeCell ref="A2:H2"/>
    <x:mergeCell ref="A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25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6" hidden="0" customWidth="1"/>
    <x:col min="11" max="11" width="16" hidden="0" customWidth="1"/>
    <x:col min="12" max="12" width="58" hidden="0" customWidth="1"/>
    <x:col min="13" max="13" width="16" hidden="0" customWidth="1"/>
    <x:col min="14" max="14" width="38" hidden="0" customWidth="1"/>
    <x:col min="16" max="16" width="15" hidden="0" customWidth="1"/>
    <x:col min="17" max="17" width="20" hidden="0" customWidth="1"/>
    <x:col min="18" max="18" width="16" hidden="0" customWidth="1"/>
    <x:col min="19" max="19" width="18" hidden="0" customWidth="1"/>
    <x:col min="20" max="20" width="65" hidden="0" customWidth="1"/>
    <x:col min="21" max="21" width="40" hidden="0" customWidth="1"/>
    <x:col min="22" max="22" width="44" hidden="0" customWidth="1"/>
  </x:cols>
  <x:sheetData>
    <x:row r="1" ht="32" customHeight="1">
      <x:c r="A1" s="48" t="str">
        <x:v>箭塔 → 死亡之塔 → 碎骨重炮 → 死神榴弹炮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</x:row>
    <x:row r="2" ht="42" customHeight="1">
      <x:c r="A2" s="55" t="str">
        <x:v>来源：War3 2026-07-19 12-34-30-146.mp4；War3 2026-07-19 12-36-23-614.mp4；时间范围：完整两段录像。攻击力为升级完成后的首个稳定显示值；忽略已知每秒+4攻击力成长。金币/木材/人口均按“升到本级”记录。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4" ht="30" customHeight="1">
      <x:c r="A4" s="20" t="str">
        <x:v>序号</x:v>
      </x:c>
      <x:c r="B4" s="20" t="str">
        <x:v>阶段</x:v>
      </x:c>
      <x:c r="C4" s="20" t="str">
        <x:v>稀有度</x:v>
      </x:c>
      <x:c r="D4" s="20" t="str">
        <x:v>等级/名称</x:v>
      </x:c>
      <x:c r="E4" s="20" t="str">
        <x:v>录像攻击力</x:v>
      </x:c>
      <x:c r="F4" s="20" t="str">
        <x:v>较上一级提升</x:v>
      </x:c>
      <x:c r="G4" s="20" t="str">
        <x:v>升到本级金币</x:v>
      </x:c>
      <x:c r="H4" s="20" t="str">
        <x:v>升到本级木材</x:v>
      </x:c>
      <x:c r="I4" s="20" t="str">
        <x:v>人口增量</x:v>
      </x:c>
      <x:c r="J4" s="20" t="str">
        <x:v>累计金币</x:v>
      </x:c>
      <x:c r="K4" s="20" t="str">
        <x:v>累计木材</x:v>
      </x:c>
      <x:c r="L4" s="20" t="str">
        <x:v>当前特殊技能</x:v>
      </x:c>
      <x:c r="M4" s="20" t="str">
        <x:v>录像来源</x:v>
      </x:c>
      <x:c r="N4" s="20" t="str">
        <x:v>备注</x:v>
      </x:c>
      <x:c r="P4" s="204" t="str">
        <x:v>特殊技能文本与成长规律</x:v>
      </x:c>
      <x:c r="Q4" s="204"/>
      <x:c r="R4" s="204"/>
      <x:c r="S4" s="204"/>
      <x:c r="T4" s="204"/>
      <x:c r="U4" s="204"/>
      <x:c r="V4" s="204"/>
    </x:row>
    <x:row r="5" ht="30" customHeight="1">
      <x:c r="A5" s="65" t="n">
        <x:v>1</x:v>
      </x:c>
      <x:c r="B5" s="65" t="str">
        <x:v>箭塔</x:v>
      </x:c>
      <x:c r="C5" s="65" t="str"/>
      <x:c r="D5" s="65" t="str">
        <x:v>箭塔1-1</x:v>
      </x:c>
      <x:c r="E5" s="66" t="n">
        <x:v>172</x:v>
      </x:c>
      <x:c r="F5" s="66" t="str">
        <x:v>—</x:v>
      </x:c>
      <x:c r="G5" s="66" t="n">
        <x:v>0</x:v>
      </x:c>
      <x:c r="H5" s="66" t="n">
        <x:v>50</x:v>
      </x:c>
      <x:c r="I5" s="66" t="n">
        <x:v>0</x:v>
      </x:c>
      <x:c r="J5" s="66" t="n">
        <x:f>G5</x:f>
        <x:v>0</x:v>
      </x:c>
      <x:c r="K5" s="66" t="n">
        <x:f>H5</x:f>
        <x:v>50</x:v>
      </x:c>
      <x:c r="L5" s="67" t="str">
        <x:v>无特殊技能展示</x:v>
      </x:c>
      <x:c r="M5" s="67" t="str">
        <x:v>死亡路线</x:v>
      </x:c>
      <x:c r="N5" s="67" t="str">
        <x:v>初建成本：木50</x:v>
      </x:c>
      <x:c r="P5" s="210" t="str">
        <x:v>阶段</x:v>
      </x:c>
      <x:c r="Q5" s="210" t="str">
        <x:v>技能名称</x:v>
      </x:c>
      <x:c r="R5" s="210" t="str">
        <x:v>文本来源</x:v>
      </x:c>
      <x:c r="S5" s="210" t="str">
        <x:v>等级/数值</x:v>
      </x:c>
      <x:c r="T5" s="210" t="str">
        <x:v>文本描述</x:v>
      </x:c>
      <x:c r="U5" s="210" t="str">
        <x:v>升级规律</x:v>
      </x:c>
      <x:c r="V5" s="210" t="str">
        <x:v>备注</x:v>
      </x:c>
    </x:row>
    <x:row r="6">
      <x:c r="A6" s="65" t="n">
        <x:v>2</x:v>
      </x:c>
      <x:c r="B6" s="65" t="str">
        <x:v>箭塔</x:v>
      </x:c>
      <x:c r="C6" s="65" t="str"/>
      <x:c r="D6" s="65" t="str">
        <x:v>箭塔1-2</x:v>
      </x:c>
      <x:c r="E6" s="66" t="n">
        <x:v>251</x:v>
      </x:c>
      <x:c r="F6" s="66" t="n">
        <x:f>E6-E5</x:f>
        <x:v>79</x:v>
      </x:c>
      <x:c r="G6" s="66" t="n">
        <x:v>0</x:v>
      </x:c>
      <x:c r="H6" s="66" t="n">
        <x:v>100</x:v>
      </x:c>
      <x:c r="I6" s="66" t="n">
        <x:v>0</x:v>
      </x:c>
      <x:c r="J6" s="66" t="n">
        <x:f>J5+G6</x:f>
        <x:v>0</x:v>
      </x:c>
      <x:c r="K6" s="66" t="n">
        <x:f>K5+H6</x:f>
        <x:v>150</x:v>
      </x:c>
      <x:c r="L6" s="67" t="str">
        <x:v>无特殊技能展示</x:v>
      </x:c>
      <x:c r="M6" s="67" t="str">
        <x:v>死亡路线</x:v>
      </x:c>
      <x:c r="N6" s="67" t="str">
        <x:v>箭塔1-1→1-2实录差值为+79</x:v>
      </x:c>
      <x:c r="P6" s="214" t="str">
        <x:v>N阶段</x:v>
      </x:c>
      <x:c r="Q6" s="214" t="str">
        <x:v>致命一击</x:v>
      </x:c>
      <x:c r="R6" s="214" t="str">
        <x:v>转职按钮</x:v>
      </x:c>
      <x:c r="S6" s="214" t="str">
        <x:v>基础说明</x:v>
      </x:c>
      <x:c r="T6" s="214" t="str">
        <x:v>攻击有10%几率触发5倍暴击，每次升级几率+3%</x:v>
      </x:c>
      <x:c r="U6" s="214" t="str">
        <x:v>建成死亡之塔LV1后实际直接显示技能等级2、概率13%</x:v>
      </x:c>
      <x:c r="V6" s="214" t="str">
        <x:v>按钮说明与实际技能存在一级偏移</x:v>
      </x:c>
    </x:row>
    <x:row r="7">
      <x:c r="A7" s="65" t="n">
        <x:v>3</x:v>
      </x:c>
      <x:c r="B7" s="65" t="str">
        <x:v>箭塔</x:v>
      </x:c>
      <x:c r="C7" s="65" t="str"/>
      <x:c r="D7" s="65" t="str">
        <x:v>箭塔1-3</x:v>
      </x:c>
      <x:c r="E7" s="66" t="n">
        <x:v>301</x:v>
      </x:c>
      <x:c r="F7" s="66" t="n">
        <x:f>E7-E6</x:f>
        <x:v>50</x:v>
      </x:c>
      <x:c r="G7" s="66" t="n">
        <x:v>0</x:v>
      </x:c>
      <x:c r="H7" s="66" t="n">
        <x:v>200</x:v>
      </x:c>
      <x:c r="I7" s="66" t="n">
        <x:v>0</x:v>
      </x:c>
      <x:c r="J7" s="66" t="n">
        <x:f>J6+G7</x:f>
        <x:v>0</x:v>
      </x:c>
      <x:c r="K7" s="66" t="n">
        <x:f>K6+H7</x:f>
        <x:v>350</x:v>
      </x:c>
      <x:c r="L7" s="67" t="str">
        <x:v>无特殊技能展示</x:v>
      </x:c>
      <x:c r="M7" s="67" t="str">
        <x:v>死亡路线</x:v>
      </x:c>
      <x:c r="N7" s="67" t="str"/>
      <x:c r="P7" s="215" t="str">
        <x:v>N阶段</x:v>
      </x:c>
      <x:c r="Q7" s="215" t="str">
        <x:v>致命一击</x:v>
      </x:c>
      <x:c r="R7" s="215" t="str">
        <x:v>实际技能</x:v>
      </x:c>
      <x:c r="S7" s="215" t="str">
        <x:v>Lv2→Lv5</x:v>
      </x:c>
      <x:c r="T7" s="215" t="str">
        <x:v>给予13%/16%/19%/22%的概率使攻击造成5倍于一般攻击的伤害值。每次升级几率+3%</x:v>
      </x:c>
      <x:c r="U7" s="215" t="str">
        <x:v>死亡之塔LV4达到Lv5；LV5不再提高</x:v>
      </x:c>
      <x:c r="V7" s="215" t="str">
        <x:v>录像直接确认</x:v>
      </x:c>
    </x:row>
    <x:row r="8">
      <x:c r="A8" s="65" t="n">
        <x:v>4</x:v>
      </x:c>
      <x:c r="B8" s="65" t="str">
        <x:v>箭塔</x:v>
      </x:c>
      <x:c r="C8" s="65" t="str"/>
      <x:c r="D8" s="65" t="str">
        <x:v>箭塔1-4</x:v>
      </x:c>
      <x:c r="E8" s="66" t="n">
        <x:v>401</x:v>
      </x:c>
      <x:c r="F8" s="66" t="n">
        <x:f>E8-E7</x:f>
        <x:v>100</x:v>
      </x:c>
      <x:c r="G8" s="66" t="n">
        <x:v>0</x:v>
      </x:c>
      <x:c r="H8" s="66" t="n">
        <x:v>250</x:v>
      </x:c>
      <x:c r="I8" s="66" t="n">
        <x:v>0</x:v>
      </x:c>
      <x:c r="J8" s="66" t="n">
        <x:f>J7+G8</x:f>
        <x:v>0</x:v>
      </x:c>
      <x:c r="K8" s="66" t="n">
        <x:f>K7+H8</x:f>
        <x:v>600</x:v>
      </x:c>
      <x:c r="L8" s="67" t="str">
        <x:v>无特殊技能展示</x:v>
      </x:c>
      <x:c r="M8" s="67" t="str">
        <x:v>死亡路线</x:v>
      </x:c>
      <x:c r="N8" s="67" t="str"/>
      <x:c r="P8" s="214" t="str">
        <x:v>R阶段</x:v>
      </x:c>
      <x:c r="Q8" s="214" t="str">
        <x:v>碎骨重炮</x:v>
      </x:c>
      <x:c r="R8" s="214" t="str">
        <x:v>转职按钮</x:v>
      </x:c>
      <x:c r="S8" s="214" t="str">
        <x:v>基础说明</x:v>
      </x:c>
      <x:c r="T8" s="214" t="str">
        <x:v>每攻击10次，下一次攻击必定暴击且暴击倍数提高为10倍</x:v>
      </x:c>
      <x:c r="U8" s="214" t="str">
        <x:v>每次升级攻击需求次数-1</x:v>
      </x:c>
      <x:c r="V8" s="214" t="str">
        <x:v>建成碎骨重炮LV1后实际直接显示技能等级2、每9次</x:v>
      </x:c>
    </x:row>
    <x:row r="9">
      <x:c r="A9" s="65" t="n">
        <x:v>5</x:v>
      </x:c>
      <x:c r="B9" s="65" t="str">
        <x:v>箭塔</x:v>
      </x:c>
      <x:c r="C9" s="65" t="str"/>
      <x:c r="D9" s="65" t="str">
        <x:v>箭塔1-5</x:v>
      </x:c>
      <x:c r="E9" s="66" t="n">
        <x:v>501</x:v>
      </x:c>
      <x:c r="F9" s="66" t="n">
        <x:f>E9-E8</x:f>
        <x:v>100</x:v>
      </x:c>
      <x:c r="G9" s="66" t="n">
        <x:v>0</x:v>
      </x:c>
      <x:c r="H9" s="66" t="n">
        <x:v>300</x:v>
      </x:c>
      <x:c r="I9" s="66" t="n">
        <x:v>0</x:v>
      </x:c>
      <x:c r="J9" s="66" t="n">
        <x:f>J8+G9</x:f>
        <x:v>0</x:v>
      </x:c>
      <x:c r="K9" s="66" t="n">
        <x:f>K8+H9</x:f>
        <x:v>900</x:v>
      </x:c>
      <x:c r="L9" s="67" t="str">
        <x:v>无特殊技能展示</x:v>
      </x:c>
      <x:c r="M9" s="67" t="str">
        <x:v>死亡路线</x:v>
      </x:c>
      <x:c r="N9" s="67" t="str"/>
      <x:c r="P9" s="215" t="str">
        <x:v>R阶段</x:v>
      </x:c>
      <x:c r="Q9" s="215" t="str">
        <x:v>碎骨重炮</x:v>
      </x:c>
      <x:c r="R9" s="215" t="str">
        <x:v>实际技能</x:v>
      </x:c>
      <x:c r="S9" s="215" t="str">
        <x:v>Lv2→Lv5</x:v>
      </x:c>
      <x:c r="T9" s="215" t="str">
        <x:v>每攻击9/8/7/6次，下一次攻击必定暴击且暴击倍数提高为10倍</x:v>
      </x:c>
      <x:c r="U9" s="215" t="str">
        <x:v>碎骨重炮LV4达到Lv5；LV5不再提高</x:v>
      </x:c>
      <x:c r="V9" s="215" t="str">
        <x:v>录像直接确认</x:v>
      </x:c>
    </x:row>
    <x:row r="10">
      <x:c r="A10" s="71" t="n">
        <x:v>6</x:v>
      </x:c>
      <x:c r="B10" s="71" t="str">
        <x:v>死亡之塔</x:v>
      </x:c>
      <x:c r="C10" s="71" t="str">
        <x:v>N</x:v>
      </x:c>
      <x:c r="D10" s="71" t="str">
        <x:v>死亡之塔LV1</x:v>
      </x:c>
      <x:c r="E10" s="72" t="n">
        <x:v>901</x:v>
      </x:c>
      <x:c r="F10" s="72" t="n">
        <x:f>E10-E9</x:f>
        <x:v>400</x:v>
      </x:c>
      <x:c r="G10" s="72" t="n">
        <x:v>20</x:v>
      </x:c>
      <x:c r="H10" s="72" t="n">
        <x:v>1000</x:v>
      </x:c>
      <x:c r="I10" s="72" t="n">
        <x:v>1</x:v>
      </x:c>
      <x:c r="J10" s="72" t="n">
        <x:f>J9+G10</x:f>
        <x:v>20</x:v>
      </x:c>
      <x:c r="K10" s="72" t="n">
        <x:f>K9+H10</x:f>
        <x:v>1900</x:v>
      </x:c>
      <x:c r="L10" s="73" t="str">
        <x:v>致命一击Lv2：13%概率造成5倍暴击</x:v>
      </x:c>
      <x:c r="M10" s="73" t="str">
        <x:v>死亡路线</x:v>
      </x:c>
      <x:c r="N10" s="73" t="str">
        <x:v>N阶段转职；人口+1</x:v>
      </x:c>
      <x:c r="P10" s="214" t="str">
        <x:v>最终阶段</x:v>
      </x:c>
      <x:c r="Q10" s="214" t="str">
        <x:v>死神榴弹炮</x:v>
      </x:c>
      <x:c r="R10" s="214" t="str">
        <x:v>实际技能</x:v>
      </x:c>
      <x:c r="S10" s="214" t="str">
        <x:v>Lv1</x:v>
      </x:c>
      <x:c r="T10" s="214" t="str">
        <x:v>每次暴击对半径300码范围造成该次暴击伤害200%的范围伤害</x:v>
      </x:c>
      <x:c r="U10" s="214" t="str">
        <x:v>死神榴弹炮LV1至LV10保持不变</x:v>
      </x:c>
      <x:c r="V10" s="214" t="str">
        <x:v>录像直接确认</x:v>
      </x:c>
    </x:row>
    <x:row r="11">
      <x:c r="A11" s="71" t="n">
        <x:v>7</x:v>
      </x:c>
      <x:c r="B11" s="71" t="str">
        <x:v>死亡之塔</x:v>
      </x:c>
      <x:c r="C11" s="71" t="str">
        <x:v>N</x:v>
      </x:c>
      <x:c r="D11" s="71" t="str">
        <x:v>死亡之塔LV2</x:v>
      </x:c>
      <x:c r="E11" s="72" t="n">
        <x:v>1501</x:v>
      </x:c>
      <x:c r="F11" s="72" t="n">
        <x:f>E11-E10</x:f>
        <x:v>600</x:v>
      </x:c>
      <x:c r="G11" s="72" t="n">
        <x:v>50</x:v>
      </x:c>
      <x:c r="H11" s="72" t="n">
        <x:v>1500</x:v>
      </x:c>
      <x:c r="I11" s="72" t="n">
        <x:v>0</x:v>
      </x:c>
      <x:c r="J11" s="72" t="n">
        <x:f>J10+G11</x:f>
        <x:v>70</x:v>
      </x:c>
      <x:c r="K11" s="72" t="n">
        <x:f>K10+H11</x:f>
        <x:v>3400</x:v>
      </x:c>
      <x:c r="L11" s="73" t="str">
        <x:v>致命一击Lv3：16%概率造成5倍暴击</x:v>
      </x:c>
      <x:c r="M11" s="73" t="str">
        <x:v>死亡路线</x:v>
      </x:c>
      <x:c r="N11" s="73" t="str"/>
    </x:row>
    <x:row r="12">
      <x:c r="A12" s="71" t="n">
        <x:v>8</x:v>
      </x:c>
      <x:c r="B12" s="71" t="str">
        <x:v>死亡之塔</x:v>
      </x:c>
      <x:c r="C12" s="71" t="str">
        <x:v>N</x:v>
      </x:c>
      <x:c r="D12" s="71" t="str">
        <x:v>死亡之塔LV3</x:v>
      </x:c>
      <x:c r="E12" s="72" t="n">
        <x:v>2101</x:v>
      </x:c>
      <x:c r="F12" s="72" t="n">
        <x:f>E12-E11</x:f>
        <x:v>600</x:v>
      </x:c>
      <x:c r="G12" s="72" t="n">
        <x:v>200</x:v>
      </x:c>
      <x:c r="H12" s="72" t="n">
        <x:v>2000</x:v>
      </x:c>
      <x:c r="I12" s="72" t="n">
        <x:v>0</x:v>
      </x:c>
      <x:c r="J12" s="72" t="n">
        <x:f>J11+G12</x:f>
        <x:v>270</x:v>
      </x:c>
      <x:c r="K12" s="72" t="n">
        <x:f>K11+H12</x:f>
        <x:v>5400</x:v>
      </x:c>
      <x:c r="L12" s="73" t="str">
        <x:v>致命一击Lv4：19%概率造成5倍暴击</x:v>
      </x:c>
      <x:c r="M12" s="73" t="str">
        <x:v>死亡路线</x:v>
      </x:c>
      <x:c r="N12" s="73" t="str"/>
    </x:row>
    <x:row r="13">
      <x:c r="A13" s="71" t="n">
        <x:v>9</x:v>
      </x:c>
      <x:c r="B13" s="71" t="str">
        <x:v>死亡之塔</x:v>
      </x:c>
      <x:c r="C13" s="71" t="str">
        <x:v>N</x:v>
      </x:c>
      <x:c r="D13" s="71" t="str">
        <x:v>死亡之塔LV4</x:v>
      </x:c>
      <x:c r="E13" s="72" t="n">
        <x:v>3901</x:v>
      </x:c>
      <x:c r="F13" s="72" t="n">
        <x:f>E13-E12</x:f>
        <x:v>1800</x:v>
      </x:c>
      <x:c r="G13" s="72" t="n">
        <x:v>500</x:v>
      </x:c>
      <x:c r="H13" s="72" t="n">
        <x:v>2500</x:v>
      </x:c>
      <x:c r="I13" s="72" t="n">
        <x:v>0</x:v>
      </x:c>
      <x:c r="J13" s="72" t="n">
        <x:f>J12+G13</x:f>
        <x:v>770</x:v>
      </x:c>
      <x:c r="K13" s="72" t="n">
        <x:f>K12+H13</x:f>
        <x:v>7900</x:v>
      </x:c>
      <x:c r="L13" s="73" t="str">
        <x:v>致命一击Lv5：22%概率造成5倍暴击</x:v>
      </x:c>
      <x:c r="M13" s="73" t="str">
        <x:v>死亡路线</x:v>
      </x:c>
      <x:c r="N13" s="73" t="str"/>
    </x:row>
    <x:row r="14">
      <x:c r="A14" s="71" t="n">
        <x:v>10</x:v>
      </x:c>
      <x:c r="B14" s="71" t="str">
        <x:v>死亡之塔</x:v>
      </x:c>
      <x:c r="C14" s="71" t="str">
        <x:v>N</x:v>
      </x:c>
      <x:c r="D14" s="71" t="str">
        <x:v>死亡之塔LV5</x:v>
      </x:c>
      <x:c r="E14" s="72" t="n">
        <x:v>6101</x:v>
      </x:c>
      <x:c r="F14" s="72" t="n">
        <x:f>E14-E13</x:f>
        <x:v>2200</x:v>
      </x:c>
      <x:c r="G14" s="72" t="n">
        <x:v>1000</x:v>
      </x:c>
      <x:c r="H14" s="72" t="n">
        <x:v>3000</x:v>
      </x:c>
      <x:c r="I14" s="72" t="n">
        <x:v>0</x:v>
      </x:c>
      <x:c r="J14" s="72" t="n">
        <x:f>J13+G14</x:f>
        <x:v>1770</x:v>
      </x:c>
      <x:c r="K14" s="72" t="n">
        <x:f>K13+H14</x:f>
        <x:v>10900</x:v>
      </x:c>
      <x:c r="L14" s="73" t="str">
        <x:v>致命一击Lv5：22%概率造成5倍暴击</x:v>
      </x:c>
      <x:c r="M14" s="73" t="str">
        <x:v>死亡路线</x:v>
      </x:c>
      <x:c r="N14" s="73" t="str"/>
    </x:row>
    <x:row r="15">
      <x:c r="A15" s="77" t="n">
        <x:v>11</x:v>
      </x:c>
      <x:c r="B15" s="77" t="str">
        <x:v>碎骨重炮</x:v>
      </x:c>
      <x:c r="C15" s="77" t="str">
        <x:v>R</x:v>
      </x:c>
      <x:c r="D15" s="77" t="str">
        <x:v>碎骨重炮LV1</x:v>
      </x:c>
      <x:c r="E15" s="78" t="n">
        <x:v>12101</x:v>
      </x:c>
      <x:c r="F15" s="78" t="n">
        <x:f>E15-E14</x:f>
        <x:v>6000</x:v>
      </x:c>
      <x:c r="G15" s="78" t="n">
        <x:v>1000</x:v>
      </x:c>
      <x:c r="H15" s="78" t="n">
        <x:v>20000</x:v>
      </x:c>
      <x:c r="I15" s="78" t="n">
        <x:v>1</x:v>
      </x:c>
      <x:c r="J15" s="78" t="n">
        <x:f>J14+G15</x:f>
        <x:v>2770</x:v>
      </x:c>
      <x:c r="K15" s="78" t="n">
        <x:f>K14+H15</x:f>
        <x:v>30900</x:v>
      </x:c>
      <x:c r="L15" s="79" t="str">
        <x:v>致命一击Lv5：22%/5倍
碎骨重炮Lv2：每攻击9次，下一击必定10倍暴击</x:v>
      </x:c>
      <x:c r="M15" s="79" t="str">
        <x:v>死亡路线</x:v>
      </x:c>
      <x:c r="N15" s="79" t="str">
        <x:v>R阶段转职；人口+1</x:v>
      </x:c>
    </x:row>
    <x:row r="16">
      <x:c r="A16" s="77" t="n">
        <x:v>12</x:v>
      </x:c>
      <x:c r="B16" s="77" t="str">
        <x:v>碎骨重炮</x:v>
      </x:c>
      <x:c r="C16" s="77" t="str">
        <x:v>R</x:v>
      </x:c>
      <x:c r="D16" s="77" t="str">
        <x:v>碎骨重炮LV2</x:v>
      </x:c>
      <x:c r="E16" s="78" t="n">
        <x:v>35101</x:v>
      </x:c>
      <x:c r="F16" s="78" t="n">
        <x:f>E16-E15</x:f>
        <x:v>23000</x:v>
      </x:c>
      <x:c r="G16" s="78" t="n">
        <x:v>2000</x:v>
      </x:c>
      <x:c r="H16" s="78" t="n">
        <x:v>40000</x:v>
      </x:c>
      <x:c r="I16" s="78" t="n">
        <x:v>0</x:v>
      </x:c>
      <x:c r="J16" s="78" t="n">
        <x:f>J15+G16</x:f>
        <x:v>4770</x:v>
      </x:c>
      <x:c r="K16" s="78" t="n">
        <x:f>K15+H16</x:f>
        <x:v>70900</x:v>
      </x:c>
      <x:c r="L16" s="79" t="str">
        <x:v>致命一击Lv5：22%/5倍
碎骨重炮Lv3：每攻击8次，下一击必定10倍暴击</x:v>
      </x:c>
      <x:c r="M16" s="79" t="str">
        <x:v>死亡路线</x:v>
      </x:c>
      <x:c r="N16" s="79" t="str"/>
    </x:row>
    <x:row r="17">
      <x:c r="A17" s="77" t="n">
        <x:v>13</x:v>
      </x:c>
      <x:c r="B17" s="77" t="str">
        <x:v>碎骨重炮</x:v>
      </x:c>
      <x:c r="C17" s="77" t="str">
        <x:v>R</x:v>
      </x:c>
      <x:c r="D17" s="77" t="str">
        <x:v>碎骨重炮LV3</x:v>
      </x:c>
      <x:c r="E17" s="78" t="n">
        <x:v>50101</x:v>
      </x:c>
      <x:c r="F17" s="78" t="n">
        <x:f>E17-E16</x:f>
        <x:v>15000</x:v>
      </x:c>
      <x:c r="G17" s="78" t="n">
        <x:v>5000</x:v>
      </x:c>
      <x:c r="H17" s="78" t="n">
        <x:v>60000</x:v>
      </x:c>
      <x:c r="I17" s="78" t="n">
        <x:v>0</x:v>
      </x:c>
      <x:c r="J17" s="78" t="n">
        <x:f>J16+G17</x:f>
        <x:v>9770</x:v>
      </x:c>
      <x:c r="K17" s="78" t="n">
        <x:f>K16+H17</x:f>
        <x:v>130900</x:v>
      </x:c>
      <x:c r="L17" s="79" t="str">
        <x:v>致命一击Lv5：22%/5倍
碎骨重炮Lv4：每攻击7次，下一击必定10倍暴击</x:v>
      </x:c>
      <x:c r="M17" s="79" t="str">
        <x:v>死亡路线</x:v>
      </x:c>
      <x:c r="N17" s="79" t="str"/>
    </x:row>
    <x:row r="18">
      <x:c r="A18" s="77" t="n">
        <x:v>14</x:v>
      </x:c>
      <x:c r="B18" s="77" t="str">
        <x:v>碎骨重炮</x:v>
      </x:c>
      <x:c r="C18" s="77" t="str">
        <x:v>R</x:v>
      </x:c>
      <x:c r="D18" s="77" t="str">
        <x:v>碎骨重炮LV4</x:v>
      </x:c>
      <x:c r="E18" s="78" t="n">
        <x:v>75101</x:v>
      </x:c>
      <x:c r="F18" s="78" t="n">
        <x:f>E18-E17</x:f>
        <x:v>25000</x:v>
      </x:c>
      <x:c r="G18" s="78" t="n">
        <x:v>10000</x:v>
      </x:c>
      <x:c r="H18" s="78" t="n">
        <x:v>100000</x:v>
      </x:c>
      <x:c r="I18" s="78" t="n">
        <x:v>0</x:v>
      </x:c>
      <x:c r="J18" s="78" t="n">
        <x:f>J17+G18</x:f>
        <x:v>19770</x:v>
      </x:c>
      <x:c r="K18" s="78" t="n">
        <x:f>K17+H18</x:f>
        <x:v>230900</x:v>
      </x:c>
      <x:c r="L18" s="79" t="str">
        <x:v>致命一击Lv5：22%/5倍
碎骨重炮Lv5：每攻击6次，下一击必定10倍暴击</x:v>
      </x:c>
      <x:c r="M18" s="79" t="str">
        <x:v>死亡路线</x:v>
      </x:c>
      <x:c r="N18" s="79" t="str"/>
    </x:row>
    <x:row r="19">
      <x:c r="A19" s="77" t="n">
        <x:v>15</x:v>
      </x:c>
      <x:c r="B19" s="77" t="str">
        <x:v>碎骨重炮</x:v>
      </x:c>
      <x:c r="C19" s="77" t="str">
        <x:v>R</x:v>
      </x:c>
      <x:c r="D19" s="77" t="str">
        <x:v>碎骨重炮LV5</x:v>
      </x:c>
      <x:c r="E19" s="78" t="n">
        <x:v>108101</x:v>
      </x:c>
      <x:c r="F19" s="78" t="n">
        <x:f>E19-E18</x:f>
        <x:v>33000</x:v>
      </x:c>
      <x:c r="G19" s="78" t="n">
        <x:v>20000</x:v>
      </x:c>
      <x:c r="H19" s="78" t="n">
        <x:v>100000</x:v>
      </x:c>
      <x:c r="I19" s="78" t="n">
        <x:v>0</x:v>
      </x:c>
      <x:c r="J19" s="78" t="n">
        <x:f>J18+G19</x:f>
        <x:v>39770</x:v>
      </x:c>
      <x:c r="K19" s="78" t="n">
        <x:f>K18+H19</x:f>
        <x:v>330900</x:v>
      </x:c>
      <x:c r="L19" s="79" t="str">
        <x:v>致命一击Lv5：22%/5倍
碎骨重炮Lv5：每攻击6次，下一击必定10倍暴击</x:v>
      </x:c>
      <x:c r="M19" s="79" t="str">
        <x:v>死亡路线</x:v>
      </x:c>
      <x:c r="N19" s="79" t="str"/>
    </x:row>
    <x:row r="20">
      <x:c r="A20" s="83" t="n">
        <x:v>16</x:v>
      </x:c>
      <x:c r="B20" s="83" t="str">
        <x:v>死神榴弹炮</x:v>
      </x:c>
      <x:c r="C20" s="83" t="str">
        <x:v>SR</x:v>
      </x:c>
      <x:c r="D20" s="83" t="str">
        <x:v>死神榴弹炮LV1</x:v>
      </x:c>
      <x:c r="E20" s="84" t="n">
        <x:v>308101</x:v>
      </x:c>
      <x:c r="F20" s="84" t="n">
        <x:f>E20-E19</x:f>
        <x:v>200000</x:v>
      </x:c>
      <x:c r="G20" s="84" t="n">
        <x:v>30000</x:v>
      </x:c>
      <x:c r="H20" s="84" t="n">
        <x:v>200000</x:v>
      </x:c>
      <x:c r="I20" s="84" t="n">
        <x:v>2</x:v>
      </x:c>
      <x:c r="J20" s="84" t="n">
        <x:f>J19+G20</x:f>
        <x:v>69770</x:v>
      </x:c>
      <x:c r="K20" s="84" t="n">
        <x:f>K19+H20</x:f>
        <x:v>530900</x:v>
      </x:c>
      <x:c r="L20" s="85" t="str">
        <x:v>致命一击Lv5：22%/5倍
碎骨重炮Lv5：每攻击6次，下一击必定10倍暴击
死神榴弹炮Lv1：暴击时对300码范围造成该次暴击伤害200%</x:v>
      </x:c>
      <x:c r="M20" s="85" t="str">
        <x:v>死亡路线</x:v>
      </x:c>
      <x:c r="N20" s="85" t="str">
        <x:v>SR阶段转职；人口+2</x:v>
      </x:c>
    </x:row>
    <x:row r="21">
      <x:c r="A21" s="83" t="n">
        <x:v>17</x:v>
      </x:c>
      <x:c r="B21" s="83" t="str">
        <x:v>死神榴弹炮</x:v>
      </x:c>
      <x:c r="C21" s="83" t="str">
        <x:v>SR</x:v>
      </x:c>
      <x:c r="D21" s="83" t="str">
        <x:v>死神榴弹炮LV2</x:v>
      </x:c>
      <x:c r="E21" s="84" t="n">
        <x:v>508101</x:v>
      </x:c>
      <x:c r="F21" s="84" t="n">
        <x:f>E21-E20</x:f>
        <x:v>200000</x:v>
      </x:c>
      <x:c r="G21" s="84" t="n">
        <x:v>60000</x:v>
      </x:c>
      <x:c r="H21" s="84" t="n">
        <x:v>200000</x:v>
      </x:c>
      <x:c r="I21" s="84" t="n">
        <x:v>0</x:v>
      </x:c>
      <x:c r="J21" s="84" t="n">
        <x:f>J20+G21</x:f>
        <x:v>129770</x:v>
      </x:c>
      <x:c r="K21" s="84" t="n">
        <x:f>K20+H21</x:f>
        <x:v>730900</x:v>
      </x:c>
      <x:c r="L21" s="85" t="str">
        <x:v>致命一击Lv5：22%/5倍
碎骨重炮Lv5：每攻击6次，下一击必定10倍暴击
死神榴弹炮Lv1：暴击时对300码范围造成该次暴击伤害200%</x:v>
      </x:c>
      <x:c r="M21" s="85" t="str">
        <x:v>死亡路线</x:v>
      </x:c>
      <x:c r="N21" s="85" t="str"/>
    </x:row>
    <x:row r="22">
      <x:c r="A22" s="83" t="n">
        <x:v>18</x:v>
      </x:c>
      <x:c r="B22" s="83" t="str">
        <x:v>死神榴弹炮</x:v>
      </x:c>
      <x:c r="C22" s="83" t="str">
        <x:v>SR</x:v>
      </x:c>
      <x:c r="D22" s="83" t="str">
        <x:v>死神榴弹炮LV3</x:v>
      </x:c>
      <x:c r="E22" s="84" t="n">
        <x:v>808101</x:v>
      </x:c>
      <x:c r="F22" s="84" t="n">
        <x:f>E22-E21</x:f>
        <x:v>300000</x:v>
      </x:c>
      <x:c r="G22" s="84" t="n">
        <x:v>90000</x:v>
      </x:c>
      <x:c r="H22" s="84" t="n">
        <x:v>200000</x:v>
      </x:c>
      <x:c r="I22" s="84" t="n">
        <x:v>0</x:v>
      </x:c>
      <x:c r="J22" s="84" t="n">
        <x:f>J21+G22</x:f>
        <x:v>219770</x:v>
      </x:c>
      <x:c r="K22" s="84" t="n">
        <x:f>K21+H22</x:f>
        <x:v>930900</x:v>
      </x:c>
      <x:c r="L22" s="85" t="str">
        <x:v>致命一击Lv5：22%/5倍
碎骨重炮Lv5：每攻击6次，下一击必定10倍暴击
死神榴弹炮Lv1：暴击时对300码范围造成该次暴击伤害200%</x:v>
      </x:c>
      <x:c r="M22" s="85" t="str">
        <x:v>死亡路线</x:v>
      </x:c>
      <x:c r="N22" s="85" t="str"/>
    </x:row>
    <x:row r="23">
      <x:c r="A23" s="83" t="n">
        <x:v>19</x:v>
      </x:c>
      <x:c r="B23" s="83" t="str">
        <x:v>死神榴弹炮</x:v>
      </x:c>
      <x:c r="C23" s="83" t="str">
        <x:v>SR</x:v>
      </x:c>
      <x:c r="D23" s="83" t="str">
        <x:v>死神榴弹炮LV4</x:v>
      </x:c>
      <x:c r="E23" s="84" t="n">
        <x:v>1008101</x:v>
      </x:c>
      <x:c r="F23" s="84" t="n">
        <x:f>E23-E22</x:f>
        <x:v>200000</x:v>
      </x:c>
      <x:c r="G23" s="84" t="n">
        <x:v>120000</x:v>
      </x:c>
      <x:c r="H23" s="84" t="n">
        <x:v>200000</x:v>
      </x:c>
      <x:c r="I23" s="84" t="n">
        <x:v>0</x:v>
      </x:c>
      <x:c r="J23" s="84" t="n">
        <x:f>J22+G23</x:f>
        <x:v>339770</x:v>
      </x:c>
      <x:c r="K23" s="84" t="n">
        <x:f>K22+H23</x:f>
        <x:v>1130900</x:v>
      </x:c>
      <x:c r="L23" s="85" t="str">
        <x:v>致命一击Lv5：22%/5倍
碎骨重炮Lv5：每攻击6次，下一击必定10倍暴击
死神榴弹炮Lv1：暴击时对300码范围造成该次暴击伤害200%</x:v>
      </x:c>
      <x:c r="M23" s="85" t="str">
        <x:v>死亡路线</x:v>
      </x:c>
      <x:c r="N23" s="85" t="str"/>
    </x:row>
    <x:row r="24">
      <x:c r="A24" s="83" t="n">
        <x:v>20</x:v>
      </x:c>
      <x:c r="B24" s="83" t="str">
        <x:v>死神榴弹炮</x:v>
      </x:c>
      <x:c r="C24" s="83" t="str">
        <x:v>SR</x:v>
      </x:c>
      <x:c r="D24" s="83" t="str">
        <x:v>死神榴弹炮LV5</x:v>
      </x:c>
      <x:c r="E24" s="84" t="n">
        <x:v>1508101</x:v>
      </x:c>
      <x:c r="F24" s="84" t="n">
        <x:f>E24-E23</x:f>
        <x:v>500000</x:v>
      </x:c>
      <x:c r="G24" s="84" t="n">
        <x:v>150000</x:v>
      </x:c>
      <x:c r="H24" s="84" t="n">
        <x:v>200000</x:v>
      </x:c>
      <x:c r="I24" s="84" t="n">
        <x:v>0</x:v>
      </x:c>
      <x:c r="J24" s="84" t="n">
        <x:f>J23+G24</x:f>
        <x:v>489770</x:v>
      </x:c>
      <x:c r="K24" s="84" t="n">
        <x:f>K23+H24</x:f>
        <x:v>1330900</x:v>
      </x:c>
      <x:c r="L24" s="85" t="str">
        <x:v>致命一击Lv5：22%/5倍
碎骨重炮Lv5：每攻击6次，下一击必定10倍暴击
死神榴弹炮Lv1：暴击时对300码范围造成该次暴击伤害200%</x:v>
      </x:c>
      <x:c r="M24" s="85" t="str">
        <x:v>死亡路线</x:v>
      </x:c>
      <x:c r="N24" s="85" t="str"/>
    </x:row>
    <x:row r="25">
      <x:c r="A25" s="83" t="n">
        <x:v>21</x:v>
      </x:c>
      <x:c r="B25" s="83" t="str">
        <x:v>死神榴弹炮</x:v>
      </x:c>
      <x:c r="C25" s="83" t="str">
        <x:v>SSR</x:v>
      </x:c>
      <x:c r="D25" s="83" t="str">
        <x:v>死神榴弹炮LV6</x:v>
      </x:c>
      <x:c r="E25" s="84" t="n">
        <x:v>2008101</x:v>
      </x:c>
      <x:c r="F25" s="84" t="n">
        <x:f>E25-E24</x:f>
        <x:v>500000</x:v>
      </x:c>
      <x:c r="G25" s="84" t="n">
        <x:v>200000</x:v>
      </x:c>
      <x:c r="H25" s="84" t="n">
        <x:v>400000</x:v>
      </x:c>
      <x:c r="I25" s="84" t="n">
        <x:v>0</x:v>
      </x:c>
      <x:c r="J25" s="84" t="n">
        <x:f>J24+G25</x:f>
        <x:v>689770</x:v>
      </x:c>
      <x:c r="K25" s="84" t="n">
        <x:f>K24+H25</x:f>
        <x:v>1730900</x:v>
      </x:c>
      <x:c r="L25" s="85" t="str">
        <x:v>致命一击Lv5：22%/5倍
碎骨重炮Lv5：每攻击6次，下一击必定10倍暴击
死神榴弹炮Lv1：暴击时对300码范围造成该次暴击伤害200%</x:v>
      </x:c>
      <x:c r="M25" s="85" t="str">
        <x:v>死亡路线</x:v>
      </x:c>
      <x:c r="N25" s="85" t="str">
        <x:v>最终塔LV6开始稀有度前缀变为SSR</x:v>
      </x:c>
    </x:row>
    <x:row r="26">
      <x:c r="A26" s="83" t="n">
        <x:v>22</x:v>
      </x:c>
      <x:c r="B26" s="83" t="str">
        <x:v>死神榴弹炮</x:v>
      </x:c>
      <x:c r="C26" s="83" t="str">
        <x:v>SSR</x:v>
      </x:c>
      <x:c r="D26" s="83" t="str">
        <x:v>死神榴弹炮LV7</x:v>
      </x:c>
      <x:c r="E26" s="84" t="n">
        <x:v>3008101</x:v>
      </x:c>
      <x:c r="F26" s="84" t="n">
        <x:f>E26-E25</x:f>
        <x:v>1000000</x:v>
      </x:c>
      <x:c r="G26" s="84" t="n">
        <x:v>250000</x:v>
      </x:c>
      <x:c r="H26" s="84" t="n">
        <x:v>500000</x:v>
      </x:c>
      <x:c r="I26" s="84" t="n">
        <x:v>0</x:v>
      </x:c>
      <x:c r="J26" s="84" t="n">
        <x:f>J25+G26</x:f>
        <x:v>939770</x:v>
      </x:c>
      <x:c r="K26" s="84" t="n">
        <x:f>K25+H26</x:f>
        <x:v>2230900</x:v>
      </x:c>
      <x:c r="L26" s="85" t="str">
        <x:v>致命一击Lv5：22%/5倍
碎骨重炮Lv5：每攻击6次，下一击必定10倍暴击
死神榴弹炮Lv1：暴击时对300码范围造成该次暴击伤害200%</x:v>
      </x:c>
      <x:c r="M26" s="85" t="str">
        <x:v>死亡路线</x:v>
      </x:c>
      <x:c r="N26" s="85" t="str"/>
    </x:row>
    <x:row r="27">
      <x:c r="A27" s="83" t="n">
        <x:v>23</x:v>
      </x:c>
      <x:c r="B27" s="83" t="str">
        <x:v>死神榴弹炮</x:v>
      </x:c>
      <x:c r="C27" s="83" t="str">
        <x:v>SSR</x:v>
      </x:c>
      <x:c r="D27" s="83" t="str">
        <x:v>死神榴弹炮LV8</x:v>
      </x:c>
      <x:c r="E27" s="84" t="n">
        <x:v>4008101</x:v>
      </x:c>
      <x:c r="F27" s="84" t="n">
        <x:f>E27-E26</x:f>
        <x:v>1000000</x:v>
      </x:c>
      <x:c r="G27" s="84" t="n">
        <x:v>300000</x:v>
      </x:c>
      <x:c r="H27" s="84" t="n">
        <x:v>600000</x:v>
      </x:c>
      <x:c r="I27" s="84" t="n">
        <x:v>0</x:v>
      </x:c>
      <x:c r="J27" s="84" t="n">
        <x:f>J26+G27</x:f>
        <x:v>1239770</x:v>
      </x:c>
      <x:c r="K27" s="84" t="n">
        <x:f>K26+H27</x:f>
        <x:v>2830900</x:v>
      </x:c>
      <x:c r="L27" s="85" t="str">
        <x:v>致命一击Lv5：22%/5倍
碎骨重炮Lv5：每攻击6次，下一击必定10倍暴击
死神榴弹炮Lv1：暴击时对300码范围造成该次暴击伤害200%</x:v>
      </x:c>
      <x:c r="M27" s="85" t="str">
        <x:v>死亡路线</x:v>
      </x:c>
      <x:c r="N27" s="85" t="str"/>
    </x:row>
    <x:row r="28">
      <x:c r="A28" s="83" t="n">
        <x:v>24</x:v>
      </x:c>
      <x:c r="B28" s="83" t="str">
        <x:v>死神榴弹炮</x:v>
      </x:c>
      <x:c r="C28" s="83" t="str">
        <x:v>SSR</x:v>
      </x:c>
      <x:c r="D28" s="83" t="str">
        <x:v>死神榴弹炮LV9</x:v>
      </x:c>
      <x:c r="E28" s="84" t="n">
        <x:v>5008101</x:v>
      </x:c>
      <x:c r="F28" s="84" t="n">
        <x:f>E28-E27</x:f>
        <x:v>1000000</x:v>
      </x:c>
      <x:c r="G28" s="84" t="n">
        <x:v>350000</x:v>
      </x:c>
      <x:c r="H28" s="84" t="n">
        <x:v>700000</x:v>
      </x:c>
      <x:c r="I28" s="84" t="n">
        <x:v>0</x:v>
      </x:c>
      <x:c r="J28" s="84" t="n">
        <x:f>J27+G28</x:f>
        <x:v>1589770</x:v>
      </x:c>
      <x:c r="K28" s="84" t="n">
        <x:f>K27+H28</x:f>
        <x:v>3530900</x:v>
      </x:c>
      <x:c r="L28" s="85" t="str">
        <x:v>致命一击Lv5：22%/5倍
碎骨重炮Lv5：每攻击6次，下一击必定10倍暴击
死神榴弹炮Lv1：暴击时对300码范围造成该次暴击伤害200%</x:v>
      </x:c>
      <x:c r="M28" s="85" t="str">
        <x:v>死亡路线</x:v>
      </x:c>
      <x:c r="N28" s="85" t="str"/>
    </x:row>
    <x:row r="29">
      <x:c r="A29" s="83" t="n">
        <x:v>25</x:v>
      </x:c>
      <x:c r="B29" s="83" t="str">
        <x:v>死神榴弹炮</x:v>
      </x:c>
      <x:c r="C29" s="83" t="str">
        <x:v>SSR</x:v>
      </x:c>
      <x:c r="D29" s="83" t="str">
        <x:v>死神榴弹炮LV10</x:v>
      </x:c>
      <x:c r="E29" s="84" t="n">
        <x:v>6008101</x:v>
      </x:c>
      <x:c r="F29" s="84" t="n">
        <x:f>E29-E28</x:f>
        <x:v>1000000</x:v>
      </x:c>
      <x:c r="G29" s="84" t="n">
        <x:v>400000</x:v>
      </x:c>
      <x:c r="H29" s="84" t="n">
        <x:v>800000</x:v>
      </x:c>
      <x:c r="I29" s="84" t="n">
        <x:v>0</x:v>
      </x:c>
      <x:c r="J29" s="84" t="n">
        <x:f>J28+G29</x:f>
        <x:v>1989770</x:v>
      </x:c>
      <x:c r="K29" s="84" t="n">
        <x:f>K28+H29</x:f>
        <x:v>4330900</x:v>
      </x:c>
      <x:c r="L29" s="85" t="str">
        <x:v>致命一击Lv5：22%/5倍
碎骨重炮Lv5：每攻击6次，下一击必定10倍暴击
死神榴弹炮Lv1：暴击时对300码范围造成该次暴击伤害200%</x:v>
      </x:c>
      <x:c r="M29" s="85" t="str">
        <x:v>死亡路线</x:v>
      </x:c>
      <x:c r="N29" s="85" t="str"/>
    </x:row>
    <x:row r="31" ht="32" customHeight="1">
      <x:c r="A31" s="93" t="str">
        <x:v>本路线累计成本（箭塔1-1 → 最终塔LV10）</x:v>
      </x:c>
      <x:c r="B31" s="93"/>
      <x:c r="C31" s="93"/>
      <x:c r="D31" s="93"/>
      <x:c r="E31" s="93"/>
      <x:c r="F31" s="93"/>
      <x:c r="G31" s="99" t="n">
        <x:f>SUM(G5:G29)</x:f>
        <x:v>1989770</x:v>
      </x:c>
      <x:c r="H31" s="99" t="n">
        <x:f>SUM(H5:H29)</x:f>
        <x:v>4330900</x:v>
      </x:c>
      <x:c r="I31" s="99" t="n">
        <x:f>SUM(I5:I29)</x:f>
        <x:v>4</x:v>
      </x:c>
      <x:c r="J31" s="93" t="str">
        <x:v>不含主城、前置建筑、工人和其他成长路线成本</x:v>
      </x:c>
      <x:c r="K31" s="93"/>
      <x:c r="L31" s="93"/>
      <x:c r="M31" s="93"/>
      <x:c r="N31" s="93"/>
    </x:row>
    <x:row r="34" ht="28" customHeight="1">
      <x:c r="A34" s="103"/>
      <x:c r="B34" s="103"/>
      <x:c r="C34" s="103"/>
      <x:c r="D34" s="103"/>
      <x:c r="E34" s="103"/>
      <x:c r="F34" s="103"/>
      <x:c r="G34" s="103"/>
    </x:row>
    <x:row r="35">
      <x:c r="A35" s="111"/>
      <x:c r="B35" s="111"/>
      <x:c r="C35" s="111"/>
      <x:c r="D35" s="111"/>
      <x:c r="E35" s="111"/>
      <x:c r="F35" s="111"/>
      <x:c r="G35" s="111"/>
    </x:row>
    <x:row r="36">
      <x:c r="A36" s="31"/>
      <x:c r="B36" s="31"/>
      <x:c r="C36" s="31"/>
      <x:c r="D36" s="31"/>
      <x:c r="E36" s="31"/>
      <x:c r="F36" s="31"/>
      <x:c r="G36" s="31"/>
    </x:row>
    <x:row r="37">
      <x:c r="A37" s="33"/>
      <x:c r="B37" s="33"/>
      <x:c r="C37" s="33"/>
      <x:c r="D37" s="33"/>
      <x:c r="E37" s="33"/>
      <x:c r="F37" s="33"/>
      <x:c r="G37" s="33"/>
    </x:row>
    <x:row r="38">
      <x:c r="A38" s="31"/>
      <x:c r="B38" s="31"/>
      <x:c r="C38" s="31"/>
      <x:c r="D38" s="31"/>
      <x:c r="E38" s="31"/>
      <x:c r="F38" s="31"/>
      <x:c r="G38" s="31"/>
    </x:row>
    <x:row r="39">
      <x:c r="A39" s="33"/>
      <x:c r="B39" s="33"/>
      <x:c r="C39" s="33"/>
      <x:c r="D39" s="33"/>
      <x:c r="E39" s="33"/>
      <x:c r="F39" s="33"/>
      <x:c r="G39" s="33"/>
    </x:row>
    <x:row r="40">
      <x:c r="A40" s="31"/>
      <x:c r="B40" s="31"/>
      <x:c r="C40" s="31"/>
      <x:c r="D40" s="31"/>
      <x:c r="E40" s="31"/>
      <x:c r="F40" s="31"/>
      <x:c r="G40" s="31"/>
    </x:row>
  </x:sheetData>
  <x:mergeCells>
    <x:mergeCell ref="A1:N1"/>
    <x:mergeCell ref="A2:N2"/>
    <x:mergeCell ref="A31:F31"/>
    <x:mergeCell ref="J31:N31"/>
    <x:mergeCell ref="A34:G34"/>
    <x:mergeCell ref="P4:V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25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6" hidden="0" customWidth="1"/>
    <x:col min="11" max="11" width="16" hidden="0" customWidth="1"/>
    <x:col min="12" max="12" width="58" hidden="0" customWidth="1"/>
    <x:col min="13" max="13" width="16" hidden="0" customWidth="1"/>
    <x:col min="14" max="14" width="38" hidden="0" customWidth="1"/>
    <x:col min="16" max="16" width="15" hidden="0" customWidth="1"/>
    <x:col min="17" max="17" width="20" hidden="0" customWidth="1"/>
    <x:col min="18" max="18" width="16" hidden="0" customWidth="1"/>
    <x:col min="19" max="19" width="18" hidden="0" customWidth="1"/>
    <x:col min="20" max="20" width="65" hidden="0" customWidth="1"/>
    <x:col min="21" max="21" width="40" hidden="0" customWidth="1"/>
    <x:col min="22" max="22" width="44" hidden="0" customWidth="1"/>
  </x:cols>
  <x:sheetData>
    <x:row r="1" ht="32" customHeight="1">
      <x:c r="A1" s="120" t="str">
        <x:v>箭塔 → 神秘之塔 → 魔能炮 → 魔能之眼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</x:row>
    <x:row r="2" ht="42" customHeight="1">
      <x:c r="A2" s="55" t="str">
        <x:v>来源：bandicam 2026-07-19 13-06-14-620_20260719_14204603.mp4；时间范围：约24秒—145秒。攻击力为升级完成后的首个稳定显示值；忽略已知每秒+4攻击力成长。金币/木材/人口均按“升到本级”记录。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4" ht="30" customHeight="1">
      <x:c r="A4" s="20" t="str">
        <x:v>序号</x:v>
      </x:c>
      <x:c r="B4" s="20" t="str">
        <x:v>阶段</x:v>
      </x:c>
      <x:c r="C4" s="20" t="str">
        <x:v>稀有度</x:v>
      </x:c>
      <x:c r="D4" s="20" t="str">
        <x:v>等级/名称</x:v>
      </x:c>
      <x:c r="E4" s="20" t="str">
        <x:v>录像攻击力</x:v>
      </x:c>
      <x:c r="F4" s="20" t="str">
        <x:v>较上一级提升</x:v>
      </x:c>
      <x:c r="G4" s="20" t="str">
        <x:v>升到本级金币</x:v>
      </x:c>
      <x:c r="H4" s="20" t="str">
        <x:v>升到本级木材</x:v>
      </x:c>
      <x:c r="I4" s="20" t="str">
        <x:v>人口增量</x:v>
      </x:c>
      <x:c r="J4" s="20" t="str">
        <x:v>累计金币</x:v>
      </x:c>
      <x:c r="K4" s="20" t="str">
        <x:v>累计木材</x:v>
      </x:c>
      <x:c r="L4" s="20" t="str">
        <x:v>当前特殊技能</x:v>
      </x:c>
      <x:c r="M4" s="20" t="str">
        <x:v>录像来源</x:v>
      </x:c>
      <x:c r="N4" s="20" t="str">
        <x:v>备注</x:v>
      </x:c>
      <x:c r="P4" s="219" t="str">
        <x:v>特殊技能文本与成长规律</x:v>
      </x:c>
      <x:c r="Q4" s="219"/>
      <x:c r="R4" s="219"/>
      <x:c r="S4" s="219"/>
      <x:c r="T4" s="219"/>
      <x:c r="U4" s="219"/>
      <x:c r="V4" s="219"/>
    </x:row>
    <x:row r="5" ht="30" customHeight="1">
      <x:c r="A5" s="65" t="n">
        <x:v>1</x:v>
      </x:c>
      <x:c r="B5" s="65" t="str">
        <x:v>箭塔</x:v>
      </x:c>
      <x:c r="C5" s="65" t="str"/>
      <x:c r="D5" s="65" t="str">
        <x:v>箭塔1-1</x:v>
      </x:c>
      <x:c r="E5" s="66" t="n">
        <x:v>172</x:v>
      </x:c>
      <x:c r="F5" s="66" t="str">
        <x:v>—</x:v>
      </x:c>
      <x:c r="G5" s="66" t="n">
        <x:v>0</x:v>
      </x:c>
      <x:c r="H5" s="66" t="n">
        <x:v>50</x:v>
      </x:c>
      <x:c r="I5" s="66" t="n">
        <x:v>0</x:v>
      </x:c>
      <x:c r="J5" s="66" t="n">
        <x:f>G5</x:f>
        <x:v>0</x:v>
      </x:c>
      <x:c r="K5" s="66" t="n">
        <x:f>H5</x:f>
        <x:v>50</x:v>
      </x:c>
      <x:c r="L5" s="67" t="str">
        <x:v>无特殊技能展示</x:v>
      </x:c>
      <x:c r="M5" s="67" t="str">
        <x:v>魔能路线</x:v>
      </x:c>
      <x:c r="N5" s="67" t="str">
        <x:v>初建成本：木50</x:v>
      </x:c>
      <x:c r="P5" s="210" t="str">
        <x:v>阶段</x:v>
      </x:c>
      <x:c r="Q5" s="210" t="str">
        <x:v>技能名称</x:v>
      </x:c>
      <x:c r="R5" s="210" t="str">
        <x:v>文本来源</x:v>
      </x:c>
      <x:c r="S5" s="210" t="str">
        <x:v>等级/数值</x:v>
      </x:c>
      <x:c r="T5" s="210" t="str">
        <x:v>文本描述</x:v>
      </x:c>
      <x:c r="U5" s="210" t="str">
        <x:v>升级规律</x:v>
      </x:c>
      <x:c r="V5" s="210" t="str">
        <x:v>备注</x:v>
      </x:c>
    </x:row>
    <x:row r="6">
      <x:c r="A6" s="65" t="n">
        <x:v>2</x:v>
      </x:c>
      <x:c r="B6" s="65" t="str">
        <x:v>箭塔</x:v>
      </x:c>
      <x:c r="C6" s="65" t="str"/>
      <x:c r="D6" s="65" t="str">
        <x:v>箭塔1-2</x:v>
      </x:c>
      <x:c r="E6" s="66" t="n">
        <x:v>251</x:v>
      </x:c>
      <x:c r="F6" s="66" t="n">
        <x:f>E6-E5</x:f>
        <x:v>79</x:v>
      </x:c>
      <x:c r="G6" s="66" t="n">
        <x:v>0</x:v>
      </x:c>
      <x:c r="H6" s="66" t="n">
        <x:v>100</x:v>
      </x:c>
      <x:c r="I6" s="66" t="n">
        <x:v>0</x:v>
      </x:c>
      <x:c r="J6" s="66" t="n">
        <x:f>J5+G6</x:f>
        <x:v>0</x:v>
      </x:c>
      <x:c r="K6" s="66" t="n">
        <x:f>K5+H6</x:f>
        <x:v>150</x:v>
      </x:c>
      <x:c r="L6" s="67" t="str">
        <x:v>无特殊技能展示</x:v>
      </x:c>
      <x:c r="M6" s="67" t="str">
        <x:v>魔能路线</x:v>
      </x:c>
      <x:c r="N6" s="67" t="str">
        <x:v>箭塔1-1→1-2实录差值为+79</x:v>
      </x:c>
      <x:c r="P6" s="214" t="str">
        <x:v>N阶段</x:v>
      </x:c>
      <x:c r="Q6" s="214" t="str">
        <x:v>激光</x:v>
      </x:c>
      <x:c r="R6" s="214" t="str">
        <x:v>实际技能</x:v>
      </x:c>
      <x:c r="S6" s="214" t="str">
        <x:v>Lv2→Lv5</x:v>
      </x:c>
      <x:c r="T6" s="214" t="str">
        <x:v>攻击会发射激光，额外持续造成攻击力120%/140%/160%/180%的伤害；对一个目标每秒伤害递增5%，最多500%</x:v>
      </x:c>
      <x:c r="U6" s="214" t="str">
        <x:v>每次升级基础系数百分比+20%</x:v>
      </x:c>
      <x:c r="V6" s="214" t="str">
        <x:v>神秘之塔LV4达到Lv5，LV5保持</x:v>
      </x:c>
    </x:row>
    <x:row r="7">
      <x:c r="A7" s="65" t="n">
        <x:v>3</x:v>
      </x:c>
      <x:c r="B7" s="65" t="str">
        <x:v>箭塔</x:v>
      </x:c>
      <x:c r="C7" s="65" t="str"/>
      <x:c r="D7" s="65" t="str">
        <x:v>箭塔1-3</x:v>
      </x:c>
      <x:c r="E7" s="66" t="n">
        <x:v>301</x:v>
      </x:c>
      <x:c r="F7" s="66" t="n">
        <x:f>E7-E6</x:f>
        <x:v>50</x:v>
      </x:c>
      <x:c r="G7" s="66" t="n">
        <x:v>0</x:v>
      </x:c>
      <x:c r="H7" s="66" t="n">
        <x:v>200</x:v>
      </x:c>
      <x:c r="I7" s="66" t="n">
        <x:v>0</x:v>
      </x:c>
      <x:c r="J7" s="66" t="n">
        <x:f>J6+G7</x:f>
        <x:v>0</x:v>
      </x:c>
      <x:c r="K7" s="66" t="n">
        <x:f>K6+H7</x:f>
        <x:v>350</x:v>
      </x:c>
      <x:c r="L7" s="67" t="str">
        <x:v>无特殊技能展示</x:v>
      </x:c>
      <x:c r="M7" s="67" t="str">
        <x:v>魔能路线</x:v>
      </x:c>
      <x:c r="N7" s="67" t="str"/>
      <x:c r="P7" s="215" t="str">
        <x:v>R阶段</x:v>
      </x:c>
      <x:c r="Q7" s="215" t="str">
        <x:v>魔能炮</x:v>
      </x:c>
      <x:c r="R7" s="215" t="str">
        <x:v>实际技能</x:v>
      </x:c>
      <x:c r="S7" s="215" t="str">
        <x:v>Lv2→Lv5</x:v>
      </x:c>
      <x:c r="T7" s="215" t="str">
        <x:v>每次击杀5秒内，伤害提高10%，最多叠加4/5/6/7次</x:v>
      </x:c>
      <x:c r="U7" s="215" t="str">
        <x:v>每次升级提高最高叠加次数+1</x:v>
      </x:c>
      <x:c r="V7" s="215" t="str">
        <x:v>魔能炮LV4达到Lv5，LV5保持</x:v>
      </x:c>
    </x:row>
    <x:row r="8">
      <x:c r="A8" s="65" t="n">
        <x:v>4</x:v>
      </x:c>
      <x:c r="B8" s="65" t="str">
        <x:v>箭塔</x:v>
      </x:c>
      <x:c r="C8" s="65" t="str"/>
      <x:c r="D8" s="65" t="str">
        <x:v>箭塔1-4</x:v>
      </x:c>
      <x:c r="E8" s="66" t="n">
        <x:v>401</x:v>
      </x:c>
      <x:c r="F8" s="66" t="n">
        <x:f>E8-E7</x:f>
        <x:v>100</x:v>
      </x:c>
      <x:c r="G8" s="66" t="n">
        <x:v>0</x:v>
      </x:c>
      <x:c r="H8" s="66" t="n">
        <x:v>250</x:v>
      </x:c>
      <x:c r="I8" s="66" t="n">
        <x:v>0</x:v>
      </x:c>
      <x:c r="J8" s="66" t="n">
        <x:f>J7+G8</x:f>
        <x:v>0</x:v>
      </x:c>
      <x:c r="K8" s="66" t="n">
        <x:f>K7+H8</x:f>
        <x:v>600</x:v>
      </x:c>
      <x:c r="L8" s="67" t="str">
        <x:v>无特殊技能展示</x:v>
      </x:c>
      <x:c r="M8" s="67" t="str">
        <x:v>魔能路线</x:v>
      </x:c>
      <x:c r="N8" s="67" t="str"/>
      <x:c r="P8" s="214" t="str">
        <x:v>最终阶段</x:v>
      </x:c>
      <x:c r="Q8" s="214" t="str">
        <x:v>魔能之眼</x:v>
      </x:c>
      <x:c r="R8" s="214" t="str">
        <x:v>实际技能</x:v>
      </x:c>
      <x:c r="S8" s="214" t="str">
        <x:v>Lv1</x:v>
      </x:c>
      <x:c r="T8" s="214" t="str">
        <x:v>目标与魔能之眼之间的单位受到等同于目标30%的伤害</x:v>
      </x:c>
      <x:c r="U8" s="214" t="str">
        <x:v>魔能之眼LV1至LV10保持不变</x:v>
      </x:c>
      <x:c r="V8" s="214" t="str">
        <x:v>录像直接确认</x:v>
      </x:c>
    </x:row>
    <x:row r="9">
      <x:c r="A9" s="65" t="n">
        <x:v>5</x:v>
      </x:c>
      <x:c r="B9" s="65" t="str">
        <x:v>箭塔</x:v>
      </x:c>
      <x:c r="C9" s="65" t="str"/>
      <x:c r="D9" s="65" t="str">
        <x:v>箭塔1-5</x:v>
      </x:c>
      <x:c r="E9" s="66" t="n">
        <x:v>501</x:v>
      </x:c>
      <x:c r="F9" s="66" t="n">
        <x:f>E9-E8</x:f>
        <x:v>100</x:v>
      </x:c>
      <x:c r="G9" s="66" t="n">
        <x:v>0</x:v>
      </x:c>
      <x:c r="H9" s="66" t="n">
        <x:v>300</x:v>
      </x:c>
      <x:c r="I9" s="66" t="n">
        <x:v>0</x:v>
      </x:c>
      <x:c r="J9" s="66" t="n">
        <x:f>J8+G9</x:f>
        <x:v>0</x:v>
      </x:c>
      <x:c r="K9" s="66" t="n">
        <x:f>K8+H9</x:f>
        <x:v>900</x:v>
      </x:c>
      <x:c r="L9" s="67" t="str">
        <x:v>无特殊技能展示</x:v>
      </x:c>
      <x:c r="M9" s="67" t="str">
        <x:v>魔能路线</x:v>
      </x:c>
      <x:c r="N9" s="67" t="str"/>
    </x:row>
    <x:row r="10">
      <x:c r="A10" s="71" t="n">
        <x:v>6</x:v>
      </x:c>
      <x:c r="B10" s="71" t="str">
        <x:v>神秘之塔</x:v>
      </x:c>
      <x:c r="C10" s="71" t="str">
        <x:v>N</x:v>
      </x:c>
      <x:c r="D10" s="71" t="str">
        <x:v>神秘之塔LV1</x:v>
      </x:c>
      <x:c r="E10" s="72" t="n">
        <x:v>901</x:v>
      </x:c>
      <x:c r="F10" s="72" t="n">
        <x:f>E10-E9</x:f>
        <x:v>400</x:v>
      </x:c>
      <x:c r="G10" s="72" t="n">
        <x:v>20</x:v>
      </x:c>
      <x:c r="H10" s="72" t="n">
        <x:v>1000</x:v>
      </x:c>
      <x:c r="I10" s="72" t="n">
        <x:v>1</x:v>
      </x:c>
      <x:c r="J10" s="72" t="n">
        <x:f>J9+G10</x:f>
        <x:v>20</x:v>
      </x:c>
      <x:c r="K10" s="72" t="n">
        <x:f>K9+H10</x:f>
        <x:v>1900</x:v>
      </x:c>
      <x:c r="L10" s="73" t="str">
        <x:v>激光Lv2：基础系数120%；同一目标每秒递增5%，最多500%</x:v>
      </x:c>
      <x:c r="M10" s="73" t="str">
        <x:v>魔能路线</x:v>
      </x:c>
      <x:c r="N10" s="73" t="str">
        <x:v>N阶段转职；人口+1</x:v>
      </x:c>
    </x:row>
    <x:row r="11">
      <x:c r="A11" s="71" t="n">
        <x:v>7</x:v>
      </x:c>
      <x:c r="B11" s="71" t="str">
        <x:v>神秘之塔</x:v>
      </x:c>
      <x:c r="C11" s="71" t="str">
        <x:v>N</x:v>
      </x:c>
      <x:c r="D11" s="71" t="str">
        <x:v>神秘之塔LV2</x:v>
      </x:c>
      <x:c r="E11" s="72" t="n">
        <x:v>1501</x:v>
      </x:c>
      <x:c r="F11" s="72" t="n">
        <x:f>E11-E10</x:f>
        <x:v>600</x:v>
      </x:c>
      <x:c r="G11" s="72" t="n">
        <x:v>50</x:v>
      </x:c>
      <x:c r="H11" s="72" t="n">
        <x:v>1500</x:v>
      </x:c>
      <x:c r="I11" s="72" t="n">
        <x:v>0</x:v>
      </x:c>
      <x:c r="J11" s="72" t="n">
        <x:f>J10+G11</x:f>
        <x:v>70</x:v>
      </x:c>
      <x:c r="K11" s="72" t="n">
        <x:f>K10+H11</x:f>
        <x:v>3400</x:v>
      </x:c>
      <x:c r="L11" s="73" t="str">
        <x:v>激光Lv3：基础系数140%；同一目标每秒递增5%，最多500%</x:v>
      </x:c>
      <x:c r="M11" s="73" t="str">
        <x:v>魔能路线</x:v>
      </x:c>
      <x:c r="N11" s="73" t="str"/>
    </x:row>
    <x:row r="12">
      <x:c r="A12" s="71" t="n">
        <x:v>8</x:v>
      </x:c>
      <x:c r="B12" s="71" t="str">
        <x:v>神秘之塔</x:v>
      </x:c>
      <x:c r="C12" s="71" t="str">
        <x:v>N</x:v>
      </x:c>
      <x:c r="D12" s="71" t="str">
        <x:v>神秘之塔LV3</x:v>
      </x:c>
      <x:c r="E12" s="72" t="n">
        <x:v>2101</x:v>
      </x:c>
      <x:c r="F12" s="72" t="n">
        <x:f>E12-E11</x:f>
        <x:v>600</x:v>
      </x:c>
      <x:c r="G12" s="72" t="n">
        <x:v>200</x:v>
      </x:c>
      <x:c r="H12" s="72" t="n">
        <x:v>2000</x:v>
      </x:c>
      <x:c r="I12" s="72" t="n">
        <x:v>0</x:v>
      </x:c>
      <x:c r="J12" s="72" t="n">
        <x:f>J11+G12</x:f>
        <x:v>270</x:v>
      </x:c>
      <x:c r="K12" s="72" t="n">
        <x:f>K11+H12</x:f>
        <x:v>5400</x:v>
      </x:c>
      <x:c r="L12" s="73" t="str">
        <x:v>激光Lv4：基础系数160%；同一目标每秒递增5%，最多500%</x:v>
      </x:c>
      <x:c r="M12" s="73" t="str">
        <x:v>魔能路线</x:v>
      </x:c>
      <x:c r="N12" s="73" t="str"/>
    </x:row>
    <x:row r="13">
      <x:c r="A13" s="71" t="n">
        <x:v>9</x:v>
      </x:c>
      <x:c r="B13" s="71" t="str">
        <x:v>神秘之塔</x:v>
      </x:c>
      <x:c r="C13" s="71" t="str">
        <x:v>N</x:v>
      </x:c>
      <x:c r="D13" s="71" t="str">
        <x:v>神秘之塔LV4</x:v>
      </x:c>
      <x:c r="E13" s="72" t="n">
        <x:v>3901</x:v>
      </x:c>
      <x:c r="F13" s="72" t="n">
        <x:f>E13-E12</x:f>
        <x:v>1800</x:v>
      </x:c>
      <x:c r="G13" s="72" t="n">
        <x:v>500</x:v>
      </x:c>
      <x:c r="H13" s="72" t="n">
        <x:v>2500</x:v>
      </x:c>
      <x:c r="I13" s="72" t="n">
        <x:v>0</x:v>
      </x:c>
      <x:c r="J13" s="72" t="n">
        <x:f>J12+G13</x:f>
        <x:v>770</x:v>
      </x:c>
      <x:c r="K13" s="72" t="n">
        <x:f>K12+H13</x:f>
        <x:v>7900</x:v>
      </x:c>
      <x:c r="L13" s="73" t="str">
        <x:v>激光Lv5：基础系数180%；同一目标每秒递增5%，最多500%</x:v>
      </x:c>
      <x:c r="M13" s="73" t="str">
        <x:v>魔能路线</x:v>
      </x:c>
      <x:c r="N13" s="73" t="str"/>
    </x:row>
    <x:row r="14">
      <x:c r="A14" s="71" t="n">
        <x:v>10</x:v>
      </x:c>
      <x:c r="B14" s="71" t="str">
        <x:v>神秘之塔</x:v>
      </x:c>
      <x:c r="C14" s="71" t="str">
        <x:v>N</x:v>
      </x:c>
      <x:c r="D14" s="71" t="str">
        <x:v>神秘之塔LV5</x:v>
      </x:c>
      <x:c r="E14" s="72" t="n">
        <x:v>6101</x:v>
      </x:c>
      <x:c r="F14" s="72" t="n">
        <x:f>E14-E13</x:f>
        <x:v>2200</x:v>
      </x:c>
      <x:c r="G14" s="72" t="n">
        <x:v>1000</x:v>
      </x:c>
      <x:c r="H14" s="72" t="n">
        <x:v>3000</x:v>
      </x:c>
      <x:c r="I14" s="72" t="n">
        <x:v>0</x:v>
      </x:c>
      <x:c r="J14" s="72" t="n">
        <x:f>J13+G14</x:f>
        <x:v>1770</x:v>
      </x:c>
      <x:c r="K14" s="72" t="n">
        <x:f>K13+H14</x:f>
        <x:v>10900</x:v>
      </x:c>
      <x:c r="L14" s="73" t="str">
        <x:v>激光Lv5：基础系数180%；同一目标每秒递增5%，最多500%</x:v>
      </x:c>
      <x:c r="M14" s="73" t="str">
        <x:v>魔能路线</x:v>
      </x:c>
      <x:c r="N14" s="73" t="str"/>
    </x:row>
    <x:row r="15">
      <x:c r="A15" s="77" t="n">
        <x:v>11</x:v>
      </x:c>
      <x:c r="B15" s="77" t="str">
        <x:v>魔能炮</x:v>
      </x:c>
      <x:c r="C15" s="77" t="str">
        <x:v>R</x:v>
      </x:c>
      <x:c r="D15" s="77" t="str">
        <x:v>魔能炮LV1</x:v>
      </x:c>
      <x:c r="E15" s="78" t="n">
        <x:v>12101</x:v>
      </x:c>
      <x:c r="F15" s="78" t="n">
        <x:f>E15-E14</x:f>
        <x:v>6000</x:v>
      </x:c>
      <x:c r="G15" s="78" t="n">
        <x:v>1000</x:v>
      </x:c>
      <x:c r="H15" s="78" t="n">
        <x:v>20000</x:v>
      </x:c>
      <x:c r="I15" s="78" t="n">
        <x:v>1</x:v>
      </x:c>
      <x:c r="J15" s="78" t="n">
        <x:f>J14+G15</x:f>
        <x:v>2770</x:v>
      </x:c>
      <x:c r="K15" s="78" t="n">
        <x:f>K14+H15</x:f>
        <x:v>30900</x:v>
      </x:c>
      <x:c r="L15" s="79" t="str">
        <x:v>激光Lv5：180%
魔能炮Lv2：击杀后5秒内伤害+10%，最多4层</x:v>
      </x:c>
      <x:c r="M15" s="79" t="str">
        <x:v>魔能路线</x:v>
      </x:c>
      <x:c r="N15" s="79" t="str">
        <x:v>R阶段转职；人口+1</x:v>
      </x:c>
    </x:row>
    <x:row r="16">
      <x:c r="A16" s="77" t="n">
        <x:v>12</x:v>
      </x:c>
      <x:c r="B16" s="77" t="str">
        <x:v>魔能炮</x:v>
      </x:c>
      <x:c r="C16" s="77" t="str">
        <x:v>R</x:v>
      </x:c>
      <x:c r="D16" s="77" t="str">
        <x:v>魔能炮LV2</x:v>
      </x:c>
      <x:c r="E16" s="78" t="n">
        <x:v>35101</x:v>
      </x:c>
      <x:c r="F16" s="78" t="n">
        <x:f>E16-E15</x:f>
        <x:v>23000</x:v>
      </x:c>
      <x:c r="G16" s="78" t="n">
        <x:v>2000</x:v>
      </x:c>
      <x:c r="H16" s="78" t="n">
        <x:v>40000</x:v>
      </x:c>
      <x:c r="I16" s="78" t="n">
        <x:v>0</x:v>
      </x:c>
      <x:c r="J16" s="78" t="n">
        <x:f>J15+G16</x:f>
        <x:v>4770</x:v>
      </x:c>
      <x:c r="K16" s="78" t="n">
        <x:f>K15+H16</x:f>
        <x:v>70900</x:v>
      </x:c>
      <x:c r="L16" s="79" t="str">
        <x:v>激光Lv5：180%
魔能炮Lv3：击杀后5秒内伤害+10%，最多5层</x:v>
      </x:c>
      <x:c r="M16" s="79" t="str">
        <x:v>魔能路线</x:v>
      </x:c>
      <x:c r="N16" s="79" t="str"/>
    </x:row>
    <x:row r="17">
      <x:c r="A17" s="77" t="n">
        <x:v>13</x:v>
      </x:c>
      <x:c r="B17" s="77" t="str">
        <x:v>魔能炮</x:v>
      </x:c>
      <x:c r="C17" s="77" t="str">
        <x:v>R</x:v>
      </x:c>
      <x:c r="D17" s="77" t="str">
        <x:v>魔能炮LV3</x:v>
      </x:c>
      <x:c r="E17" s="78" t="n">
        <x:v>50101</x:v>
      </x:c>
      <x:c r="F17" s="78" t="n">
        <x:f>E17-E16</x:f>
        <x:v>15000</x:v>
      </x:c>
      <x:c r="G17" s="78" t="n">
        <x:v>5000</x:v>
      </x:c>
      <x:c r="H17" s="78" t="n">
        <x:v>60000</x:v>
      </x:c>
      <x:c r="I17" s="78" t="n">
        <x:v>0</x:v>
      </x:c>
      <x:c r="J17" s="78" t="n">
        <x:f>J16+G17</x:f>
        <x:v>9770</x:v>
      </x:c>
      <x:c r="K17" s="78" t="n">
        <x:f>K16+H17</x:f>
        <x:v>130900</x:v>
      </x:c>
      <x:c r="L17" s="79" t="str">
        <x:v>激光Lv5：180%
魔能炮Lv4：击杀后5秒内伤害+10%，最多6层</x:v>
      </x:c>
      <x:c r="M17" s="79" t="str">
        <x:v>魔能路线</x:v>
      </x:c>
      <x:c r="N17" s="79" t="str"/>
    </x:row>
    <x:row r="18">
      <x:c r="A18" s="77" t="n">
        <x:v>14</x:v>
      </x:c>
      <x:c r="B18" s="77" t="str">
        <x:v>魔能炮</x:v>
      </x:c>
      <x:c r="C18" s="77" t="str">
        <x:v>R</x:v>
      </x:c>
      <x:c r="D18" s="77" t="str">
        <x:v>魔能炮LV4</x:v>
      </x:c>
      <x:c r="E18" s="78" t="n">
        <x:v>75101</x:v>
      </x:c>
      <x:c r="F18" s="78" t="n">
        <x:f>E18-E17</x:f>
        <x:v>25000</x:v>
      </x:c>
      <x:c r="G18" s="78" t="n">
        <x:v>10000</x:v>
      </x:c>
      <x:c r="H18" s="78" t="n">
        <x:v>100000</x:v>
      </x:c>
      <x:c r="I18" s="78" t="n">
        <x:v>0</x:v>
      </x:c>
      <x:c r="J18" s="78" t="n">
        <x:f>J17+G18</x:f>
        <x:v>19770</x:v>
      </x:c>
      <x:c r="K18" s="78" t="n">
        <x:f>K17+H18</x:f>
        <x:v>230900</x:v>
      </x:c>
      <x:c r="L18" s="79" t="str">
        <x:v>激光Lv5：180%
魔能炮Lv5：击杀后5秒内伤害+10%，最多7层</x:v>
      </x:c>
      <x:c r="M18" s="79" t="str">
        <x:v>魔能路线</x:v>
      </x:c>
      <x:c r="N18" s="79" t="str"/>
    </x:row>
    <x:row r="19">
      <x:c r="A19" s="77" t="n">
        <x:v>15</x:v>
      </x:c>
      <x:c r="B19" s="77" t="str">
        <x:v>魔能炮</x:v>
      </x:c>
      <x:c r="C19" s="77" t="str">
        <x:v>R</x:v>
      </x:c>
      <x:c r="D19" s="77" t="str">
        <x:v>魔能炮LV5</x:v>
      </x:c>
      <x:c r="E19" s="78" t="n">
        <x:v>108101</x:v>
      </x:c>
      <x:c r="F19" s="78" t="n">
        <x:f>E19-E18</x:f>
        <x:v>33000</x:v>
      </x:c>
      <x:c r="G19" s="78" t="n">
        <x:v>20000</x:v>
      </x:c>
      <x:c r="H19" s="78" t="n">
        <x:v>100000</x:v>
      </x:c>
      <x:c r="I19" s="78" t="n">
        <x:v>0</x:v>
      </x:c>
      <x:c r="J19" s="78" t="n">
        <x:f>J18+G19</x:f>
        <x:v>39770</x:v>
      </x:c>
      <x:c r="K19" s="78" t="n">
        <x:f>K18+H19</x:f>
        <x:v>330900</x:v>
      </x:c>
      <x:c r="L19" s="79" t="str">
        <x:v>激光Lv5：180%
魔能炮Lv5：击杀后5秒内伤害+10%，最多7层</x:v>
      </x:c>
      <x:c r="M19" s="79" t="str">
        <x:v>魔能路线</x:v>
      </x:c>
      <x:c r="N19" s="79" t="str"/>
    </x:row>
    <x:row r="20">
      <x:c r="A20" s="83" t="n">
        <x:v>16</x:v>
      </x:c>
      <x:c r="B20" s="83" t="str">
        <x:v>魔能之眼</x:v>
      </x:c>
      <x:c r="C20" s="83" t="str">
        <x:v>SR</x:v>
      </x:c>
      <x:c r="D20" s="83" t="str">
        <x:v>魔能之眼LV1</x:v>
      </x:c>
      <x:c r="E20" s="84" t="n">
        <x:v>308101</x:v>
      </x:c>
      <x:c r="F20" s="84" t="n">
        <x:f>E20-E19</x:f>
        <x:v>200000</x:v>
      </x:c>
      <x:c r="G20" s="84" t="n">
        <x:v>30000</x:v>
      </x:c>
      <x:c r="H20" s="84" t="n">
        <x:v>200000</x:v>
      </x:c>
      <x:c r="I20" s="84" t="n">
        <x:v>2</x:v>
      </x:c>
      <x:c r="J20" s="84" t="n">
        <x:f>J19+G20</x:f>
        <x:v>69770</x:v>
      </x:c>
      <x:c r="K20" s="84" t="n">
        <x:f>K19+H20</x:f>
        <x:v>530900</x:v>
      </x:c>
      <x:c r="L20" s="85" t="str">
        <x:v>激光Lv5：基础系数180%，同目标每秒递增5%，最多500%
魔能炮Lv5：击杀后5秒内伤害+10%，最多7层
魔能之眼Lv1：目标与魔能之眼之间的单位受到等同于目标30%的伤害</x:v>
      </x:c>
      <x:c r="M20" s="85" t="str">
        <x:v>魔能路线</x:v>
      </x:c>
      <x:c r="N20" s="85" t="str">
        <x:v>SR阶段转职；人口+2</x:v>
      </x:c>
    </x:row>
    <x:row r="21">
      <x:c r="A21" s="83" t="n">
        <x:v>17</x:v>
      </x:c>
      <x:c r="B21" s="83" t="str">
        <x:v>魔能之眼</x:v>
      </x:c>
      <x:c r="C21" s="83" t="str">
        <x:v>SR</x:v>
      </x:c>
      <x:c r="D21" s="83" t="str">
        <x:v>魔能之眼LV2</x:v>
      </x:c>
      <x:c r="E21" s="84" t="n">
        <x:v>508101</x:v>
      </x:c>
      <x:c r="F21" s="84" t="n">
        <x:f>E21-E20</x:f>
        <x:v>200000</x:v>
      </x:c>
      <x:c r="G21" s="84" t="n">
        <x:v>60000</x:v>
      </x:c>
      <x:c r="H21" s="84" t="n">
        <x:v>200000</x:v>
      </x:c>
      <x:c r="I21" s="84" t="n">
        <x:v>0</x:v>
      </x:c>
      <x:c r="J21" s="84" t="n">
        <x:f>J20+G21</x:f>
        <x:v>129770</x:v>
      </x:c>
      <x:c r="K21" s="84" t="n">
        <x:f>K20+H21</x:f>
        <x:v>730900</x:v>
      </x:c>
      <x:c r="L21" s="85" t="str">
        <x:v>激光Lv5：基础系数180%，同目标每秒递增5%，最多500%
魔能炮Lv5：击杀后5秒内伤害+10%，最多7层
魔能之眼Lv1：目标与魔能之眼之间的单位受到等同于目标30%的伤害</x:v>
      </x:c>
      <x:c r="M21" s="85" t="str">
        <x:v>魔能路线</x:v>
      </x:c>
      <x:c r="N21" s="85" t="str"/>
    </x:row>
    <x:row r="22">
      <x:c r="A22" s="83" t="n">
        <x:v>18</x:v>
      </x:c>
      <x:c r="B22" s="83" t="str">
        <x:v>魔能之眼</x:v>
      </x:c>
      <x:c r="C22" s="83" t="str">
        <x:v>SR</x:v>
      </x:c>
      <x:c r="D22" s="83" t="str">
        <x:v>魔能之眼LV3</x:v>
      </x:c>
      <x:c r="E22" s="84" t="n">
        <x:v>808101</x:v>
      </x:c>
      <x:c r="F22" s="84" t="n">
        <x:f>E22-E21</x:f>
        <x:v>300000</x:v>
      </x:c>
      <x:c r="G22" s="84" t="n">
        <x:v>90000</x:v>
      </x:c>
      <x:c r="H22" s="84" t="n">
        <x:v>200000</x:v>
      </x:c>
      <x:c r="I22" s="84" t="n">
        <x:v>0</x:v>
      </x:c>
      <x:c r="J22" s="84" t="n">
        <x:f>J21+G22</x:f>
        <x:v>219770</x:v>
      </x:c>
      <x:c r="K22" s="84" t="n">
        <x:f>K21+H22</x:f>
        <x:v>930900</x:v>
      </x:c>
      <x:c r="L22" s="85" t="str">
        <x:v>激光Lv5：基础系数180%，同目标每秒递增5%，最多500%
魔能炮Lv5：击杀后5秒内伤害+10%，最多7层
魔能之眼Lv1：目标与魔能之眼之间的单位受到等同于目标30%的伤害</x:v>
      </x:c>
      <x:c r="M22" s="85" t="str">
        <x:v>魔能路线</x:v>
      </x:c>
      <x:c r="N22" s="85" t="str"/>
    </x:row>
    <x:row r="23">
      <x:c r="A23" s="83" t="n">
        <x:v>19</x:v>
      </x:c>
      <x:c r="B23" s="83" t="str">
        <x:v>魔能之眼</x:v>
      </x:c>
      <x:c r="C23" s="83" t="str">
        <x:v>SR</x:v>
      </x:c>
      <x:c r="D23" s="83" t="str">
        <x:v>魔能之眼LV4</x:v>
      </x:c>
      <x:c r="E23" s="84" t="n">
        <x:v>1008101</x:v>
      </x:c>
      <x:c r="F23" s="84" t="n">
        <x:f>E23-E22</x:f>
        <x:v>200000</x:v>
      </x:c>
      <x:c r="G23" s="84" t="n">
        <x:v>120000</x:v>
      </x:c>
      <x:c r="H23" s="84" t="n">
        <x:v>200000</x:v>
      </x:c>
      <x:c r="I23" s="84" t="n">
        <x:v>0</x:v>
      </x:c>
      <x:c r="J23" s="84" t="n">
        <x:f>J22+G23</x:f>
        <x:v>339770</x:v>
      </x:c>
      <x:c r="K23" s="84" t="n">
        <x:f>K22+H23</x:f>
        <x:v>1130900</x:v>
      </x:c>
      <x:c r="L23" s="85" t="str">
        <x:v>激光Lv5：基础系数180%，同目标每秒递增5%，最多500%
魔能炮Lv5：击杀后5秒内伤害+10%，最多7层
魔能之眼Lv1：目标与魔能之眼之间的单位受到等同于目标30%的伤害</x:v>
      </x:c>
      <x:c r="M23" s="85" t="str">
        <x:v>魔能路线</x:v>
      </x:c>
      <x:c r="N23" s="85" t="str"/>
    </x:row>
    <x:row r="24">
      <x:c r="A24" s="83" t="n">
        <x:v>20</x:v>
      </x:c>
      <x:c r="B24" s="83" t="str">
        <x:v>魔能之眼</x:v>
      </x:c>
      <x:c r="C24" s="83" t="str">
        <x:v>SR</x:v>
      </x:c>
      <x:c r="D24" s="83" t="str">
        <x:v>魔能之眼LV5</x:v>
      </x:c>
      <x:c r="E24" s="84" t="n">
        <x:v>1508101</x:v>
      </x:c>
      <x:c r="F24" s="84" t="n">
        <x:f>E24-E23</x:f>
        <x:v>500000</x:v>
      </x:c>
      <x:c r="G24" s="84" t="n">
        <x:v>150000</x:v>
      </x:c>
      <x:c r="H24" s="84" t="n">
        <x:v>200000</x:v>
      </x:c>
      <x:c r="I24" s="84" t="n">
        <x:v>0</x:v>
      </x:c>
      <x:c r="J24" s="84" t="n">
        <x:f>J23+G24</x:f>
        <x:v>489770</x:v>
      </x:c>
      <x:c r="K24" s="84" t="n">
        <x:f>K23+H24</x:f>
        <x:v>1330900</x:v>
      </x:c>
      <x:c r="L24" s="85" t="str">
        <x:v>激光Lv5：基础系数180%，同目标每秒递增5%，最多500%
魔能炮Lv5：击杀后5秒内伤害+10%，最多7层
魔能之眼Lv1：目标与魔能之眼之间的单位受到等同于目标30%的伤害</x:v>
      </x:c>
      <x:c r="M24" s="85" t="str">
        <x:v>魔能路线</x:v>
      </x:c>
      <x:c r="N24" s="85" t="str"/>
    </x:row>
    <x:row r="25">
      <x:c r="A25" s="83" t="n">
        <x:v>21</x:v>
      </x:c>
      <x:c r="B25" s="83" t="str">
        <x:v>魔能之眼</x:v>
      </x:c>
      <x:c r="C25" s="83" t="str">
        <x:v>SSR</x:v>
      </x:c>
      <x:c r="D25" s="83" t="str">
        <x:v>魔能之眼LV6</x:v>
      </x:c>
      <x:c r="E25" s="84" t="n">
        <x:v>2008101</x:v>
      </x:c>
      <x:c r="F25" s="84" t="n">
        <x:f>E25-E24</x:f>
        <x:v>500000</x:v>
      </x:c>
      <x:c r="G25" s="84" t="n">
        <x:v>200000</x:v>
      </x:c>
      <x:c r="H25" s="84" t="n">
        <x:v>400000</x:v>
      </x:c>
      <x:c r="I25" s="84" t="n">
        <x:v>0</x:v>
      </x:c>
      <x:c r="J25" s="84" t="n">
        <x:f>J24+G25</x:f>
        <x:v>689770</x:v>
      </x:c>
      <x:c r="K25" s="84" t="n">
        <x:f>K24+H25</x:f>
        <x:v>1730900</x:v>
      </x:c>
      <x:c r="L25" s="85" t="str">
        <x:v>激光Lv5：基础系数180%，同目标每秒递增5%，最多500%
魔能炮Lv5：击杀后5秒内伤害+10%，最多7层
魔能之眼Lv1：目标与魔能之眼之间的单位受到等同于目标30%的伤害</x:v>
      </x:c>
      <x:c r="M25" s="85" t="str">
        <x:v>魔能路线</x:v>
      </x:c>
      <x:c r="N25" s="85" t="str">
        <x:v>最终塔LV6开始稀有度前缀变为SSR</x:v>
      </x:c>
    </x:row>
    <x:row r="26">
      <x:c r="A26" s="83" t="n">
        <x:v>22</x:v>
      </x:c>
      <x:c r="B26" s="83" t="str">
        <x:v>魔能之眼</x:v>
      </x:c>
      <x:c r="C26" s="83" t="str">
        <x:v>SSR</x:v>
      </x:c>
      <x:c r="D26" s="83" t="str">
        <x:v>魔能之眼LV7</x:v>
      </x:c>
      <x:c r="E26" s="84" t="n">
        <x:v>3008101</x:v>
      </x:c>
      <x:c r="F26" s="84" t="n">
        <x:f>E26-E25</x:f>
        <x:v>1000000</x:v>
      </x:c>
      <x:c r="G26" s="84" t="n">
        <x:v>250000</x:v>
      </x:c>
      <x:c r="H26" s="84" t="n">
        <x:v>500000</x:v>
      </x:c>
      <x:c r="I26" s="84" t="n">
        <x:v>0</x:v>
      </x:c>
      <x:c r="J26" s="84" t="n">
        <x:f>J25+G26</x:f>
        <x:v>939770</x:v>
      </x:c>
      <x:c r="K26" s="84" t="n">
        <x:f>K25+H26</x:f>
        <x:v>2230900</x:v>
      </x:c>
      <x:c r="L26" s="85" t="str">
        <x:v>激光Lv5：基础系数180%，同目标每秒递增5%，最多500%
魔能炮Lv5：击杀后5秒内伤害+10%，最多7层
魔能之眼Lv1：目标与魔能之眼之间的单位受到等同于目标30%的伤害</x:v>
      </x:c>
      <x:c r="M26" s="85" t="str">
        <x:v>魔能路线</x:v>
      </x:c>
      <x:c r="N26" s="85" t="str"/>
    </x:row>
    <x:row r="27">
      <x:c r="A27" s="83" t="n">
        <x:v>23</x:v>
      </x:c>
      <x:c r="B27" s="83" t="str">
        <x:v>魔能之眼</x:v>
      </x:c>
      <x:c r="C27" s="83" t="str">
        <x:v>SSR</x:v>
      </x:c>
      <x:c r="D27" s="83" t="str">
        <x:v>魔能之眼LV8</x:v>
      </x:c>
      <x:c r="E27" s="84" t="n">
        <x:v>4008101</x:v>
      </x:c>
      <x:c r="F27" s="84" t="n">
        <x:f>E27-E26</x:f>
        <x:v>1000000</x:v>
      </x:c>
      <x:c r="G27" s="84" t="n">
        <x:v>300000</x:v>
      </x:c>
      <x:c r="H27" s="84" t="n">
        <x:v>600000</x:v>
      </x:c>
      <x:c r="I27" s="84" t="n">
        <x:v>0</x:v>
      </x:c>
      <x:c r="J27" s="84" t="n">
        <x:f>J26+G27</x:f>
        <x:v>1239770</x:v>
      </x:c>
      <x:c r="K27" s="84" t="n">
        <x:f>K26+H27</x:f>
        <x:v>2830900</x:v>
      </x:c>
      <x:c r="L27" s="85" t="str">
        <x:v>激光Lv5：基础系数180%，同目标每秒递增5%，最多500%
魔能炮Lv5：击杀后5秒内伤害+10%，最多7层
魔能之眼Lv1：目标与魔能之眼之间的单位受到等同于目标30%的伤害</x:v>
      </x:c>
      <x:c r="M27" s="85" t="str">
        <x:v>魔能路线</x:v>
      </x:c>
      <x:c r="N27" s="85" t="str"/>
    </x:row>
    <x:row r="28">
      <x:c r="A28" s="83" t="n">
        <x:v>24</x:v>
      </x:c>
      <x:c r="B28" s="83" t="str">
        <x:v>魔能之眼</x:v>
      </x:c>
      <x:c r="C28" s="83" t="str">
        <x:v>SSR</x:v>
      </x:c>
      <x:c r="D28" s="83" t="str">
        <x:v>魔能之眼LV9</x:v>
      </x:c>
      <x:c r="E28" s="84" t="n">
        <x:v>5008101</x:v>
      </x:c>
      <x:c r="F28" s="84" t="n">
        <x:f>E28-E27</x:f>
        <x:v>1000000</x:v>
      </x:c>
      <x:c r="G28" s="84" t="n">
        <x:v>350000</x:v>
      </x:c>
      <x:c r="H28" s="84" t="n">
        <x:v>700000</x:v>
      </x:c>
      <x:c r="I28" s="84" t="n">
        <x:v>0</x:v>
      </x:c>
      <x:c r="J28" s="84" t="n">
        <x:f>J27+G28</x:f>
        <x:v>1589770</x:v>
      </x:c>
      <x:c r="K28" s="84" t="n">
        <x:f>K27+H28</x:f>
        <x:v>3530900</x:v>
      </x:c>
      <x:c r="L28" s="85" t="str">
        <x:v>激光Lv5：基础系数180%，同目标每秒递增5%，最多500%
魔能炮Lv5：击杀后5秒内伤害+10%，最多7层
魔能之眼Lv1：目标与魔能之眼之间的单位受到等同于目标30%的伤害</x:v>
      </x:c>
      <x:c r="M28" s="85" t="str">
        <x:v>魔能路线</x:v>
      </x:c>
      <x:c r="N28" s="85" t="str"/>
    </x:row>
    <x:row r="29">
      <x:c r="A29" s="83" t="n">
        <x:v>25</x:v>
      </x:c>
      <x:c r="B29" s="83" t="str">
        <x:v>魔能之眼</x:v>
      </x:c>
      <x:c r="C29" s="83" t="str">
        <x:v>SSR</x:v>
      </x:c>
      <x:c r="D29" s="83" t="str">
        <x:v>魔能之眼LV10</x:v>
      </x:c>
      <x:c r="E29" s="84" t="n">
        <x:v>6008101</x:v>
      </x:c>
      <x:c r="F29" s="84" t="n">
        <x:f>E29-E28</x:f>
        <x:v>1000000</x:v>
      </x:c>
      <x:c r="G29" s="84" t="n">
        <x:v>400000</x:v>
      </x:c>
      <x:c r="H29" s="84" t="n">
        <x:v>800000</x:v>
      </x:c>
      <x:c r="I29" s="84" t="n">
        <x:v>0</x:v>
      </x:c>
      <x:c r="J29" s="84" t="n">
        <x:f>J28+G29</x:f>
        <x:v>1989770</x:v>
      </x:c>
      <x:c r="K29" s="84" t="n">
        <x:f>K28+H29</x:f>
        <x:v>4330900</x:v>
      </x:c>
      <x:c r="L29" s="85" t="str">
        <x:v>激光Lv5：基础系数180%，同目标每秒递增5%，最多500%
魔能炮Lv5：击杀后5秒内伤害+10%，最多7层
魔能之眼Lv1：目标与魔能之眼之间的单位受到等同于目标30%的伤害</x:v>
      </x:c>
      <x:c r="M29" s="85" t="str">
        <x:v>魔能路线</x:v>
      </x:c>
      <x:c r="N29" s="85" t="str"/>
    </x:row>
    <x:row r="31" ht="32" customHeight="1">
      <x:c r="A31" s="93" t="str">
        <x:v>本路线累计成本（箭塔1-1 → 最终塔LV10）</x:v>
      </x:c>
      <x:c r="B31" s="93"/>
      <x:c r="C31" s="93"/>
      <x:c r="D31" s="93"/>
      <x:c r="E31" s="93"/>
      <x:c r="F31" s="93"/>
      <x:c r="G31" s="99" t="n">
        <x:f>SUM(G5:G29)</x:f>
        <x:v>1989770</x:v>
      </x:c>
      <x:c r="H31" s="99" t="n">
        <x:f>SUM(H5:H29)</x:f>
        <x:v>4330900</x:v>
      </x:c>
      <x:c r="I31" s="99" t="n">
        <x:f>SUM(I5:I29)</x:f>
        <x:v>4</x:v>
      </x:c>
      <x:c r="J31" s="93" t="str">
        <x:v>不含主城、前置建筑、工人和其他成长路线成本</x:v>
      </x:c>
      <x:c r="K31" s="93"/>
      <x:c r="L31" s="93"/>
      <x:c r="M31" s="93"/>
      <x:c r="N31" s="93"/>
    </x:row>
    <x:row r="34" ht="28" customHeight="1">
      <x:c r="A34" s="127"/>
      <x:c r="B34" s="127"/>
      <x:c r="C34" s="127"/>
      <x:c r="D34" s="127"/>
      <x:c r="E34" s="127"/>
      <x:c r="F34" s="127"/>
      <x:c r="G34" s="127"/>
    </x:row>
    <x:row r="35">
      <x:c r="A35" s="111"/>
      <x:c r="B35" s="111"/>
      <x:c r="C35" s="111"/>
      <x:c r="D35" s="111"/>
      <x:c r="E35" s="111"/>
      <x:c r="F35" s="111"/>
      <x:c r="G35" s="111"/>
    </x:row>
    <x:row r="36">
      <x:c r="A36" s="31"/>
      <x:c r="B36" s="31"/>
      <x:c r="C36" s="31"/>
      <x:c r="D36" s="31"/>
      <x:c r="E36" s="31"/>
      <x:c r="F36" s="31"/>
      <x:c r="G36" s="31"/>
    </x:row>
    <x:row r="37">
      <x:c r="A37" s="33"/>
      <x:c r="B37" s="33"/>
      <x:c r="C37" s="33"/>
      <x:c r="D37" s="33"/>
      <x:c r="E37" s="33"/>
      <x:c r="F37" s="33"/>
      <x:c r="G37" s="33"/>
    </x:row>
    <x:row r="38">
      <x:c r="A38" s="31"/>
      <x:c r="B38" s="31"/>
      <x:c r="C38" s="31"/>
      <x:c r="D38" s="31"/>
      <x:c r="E38" s="31"/>
      <x:c r="F38" s="31"/>
      <x:c r="G38" s="31"/>
    </x:row>
  </x:sheetData>
  <x:mergeCells>
    <x:mergeCell ref="A1:N1"/>
    <x:mergeCell ref="A2:N2"/>
    <x:mergeCell ref="A31:F31"/>
    <x:mergeCell ref="J31:N31"/>
    <x:mergeCell ref="A34:G34"/>
    <x:mergeCell ref="P4:V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25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6" hidden="0" customWidth="1"/>
    <x:col min="11" max="11" width="16" hidden="0" customWidth="1"/>
    <x:col min="12" max="12" width="58" hidden="0" customWidth="1"/>
    <x:col min="13" max="13" width="16" hidden="0" customWidth="1"/>
    <x:col min="14" max="14" width="38" hidden="0" customWidth="1"/>
    <x:col min="16" max="16" width="15" hidden="0" customWidth="1"/>
    <x:col min="17" max="17" width="20" hidden="0" customWidth="1"/>
    <x:col min="18" max="18" width="16" hidden="0" customWidth="1"/>
    <x:col min="19" max="19" width="18" hidden="0" customWidth="1"/>
    <x:col min="20" max="20" width="65" hidden="0" customWidth="1"/>
    <x:col min="21" max="21" width="40" hidden="0" customWidth="1"/>
    <x:col min="22" max="22" width="44" hidden="0" customWidth="1"/>
  </x:cols>
  <x:sheetData>
    <x:row r="1" ht="32" customHeight="1">
      <x:c r="A1" s="134" t="str">
        <x:v>箭塔 → 闪电塔 → 闪电魔塔 → 雷电扩散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</x:row>
    <x:row r="2" ht="42" customHeight="1">
      <x:c r="A2" s="55" t="str">
        <x:v>来源：bandicam 2026-07-19 13-06-14-620_20260719_14204603.mp4；时间范围：约147秒—253秒。攻击力为升级完成后的首个稳定显示值；忽略已知每秒+4攻击力成长。金币/木材/人口均按“升到本级”记录。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4" ht="30" customHeight="1">
      <x:c r="A4" s="20" t="str">
        <x:v>序号</x:v>
      </x:c>
      <x:c r="B4" s="20" t="str">
        <x:v>阶段</x:v>
      </x:c>
      <x:c r="C4" s="20" t="str">
        <x:v>稀有度</x:v>
      </x:c>
      <x:c r="D4" s="20" t="str">
        <x:v>等级/名称</x:v>
      </x:c>
      <x:c r="E4" s="20" t="str">
        <x:v>录像攻击力</x:v>
      </x:c>
      <x:c r="F4" s="20" t="str">
        <x:v>较上一级提升</x:v>
      </x:c>
      <x:c r="G4" s="20" t="str">
        <x:v>升到本级金币</x:v>
      </x:c>
      <x:c r="H4" s="20" t="str">
        <x:v>升到本级木材</x:v>
      </x:c>
      <x:c r="I4" s="20" t="str">
        <x:v>人口增量</x:v>
      </x:c>
      <x:c r="J4" s="20" t="str">
        <x:v>累计金币</x:v>
      </x:c>
      <x:c r="K4" s="20" t="str">
        <x:v>累计木材</x:v>
      </x:c>
      <x:c r="L4" s="20" t="str">
        <x:v>当前特殊技能</x:v>
      </x:c>
      <x:c r="M4" s="20" t="str">
        <x:v>录像来源</x:v>
      </x:c>
      <x:c r="N4" s="20" t="str">
        <x:v>备注</x:v>
      </x:c>
      <x:c r="P4" s="223" t="str">
        <x:v>特殊技能文本与成长规律</x:v>
      </x:c>
      <x:c r="Q4" s="223"/>
      <x:c r="R4" s="223"/>
      <x:c r="S4" s="223"/>
      <x:c r="T4" s="223"/>
      <x:c r="U4" s="223"/>
      <x:c r="V4" s="223"/>
    </x:row>
    <x:row r="5" ht="30" customHeight="1">
      <x:c r="A5" s="65" t="n">
        <x:v>1</x:v>
      </x:c>
      <x:c r="B5" s="65" t="str">
        <x:v>箭塔</x:v>
      </x:c>
      <x:c r="C5" s="65" t="str"/>
      <x:c r="D5" s="65" t="str">
        <x:v>箭塔1-1</x:v>
      </x:c>
      <x:c r="E5" s="66" t="n">
        <x:v>172</x:v>
      </x:c>
      <x:c r="F5" s="66" t="str">
        <x:v>—</x:v>
      </x:c>
      <x:c r="G5" s="66" t="n">
        <x:v>0</x:v>
      </x:c>
      <x:c r="H5" s="66" t="n">
        <x:v>50</x:v>
      </x:c>
      <x:c r="I5" s="66" t="n">
        <x:v>0</x:v>
      </x:c>
      <x:c r="J5" s="66" t="n">
        <x:f>G5</x:f>
        <x:v>0</x:v>
      </x:c>
      <x:c r="K5" s="66" t="n">
        <x:f>H5</x:f>
        <x:v>50</x:v>
      </x:c>
      <x:c r="L5" s="67" t="str">
        <x:v>无特殊技能展示</x:v>
      </x:c>
      <x:c r="M5" s="67" t="str">
        <x:v>雷电路线</x:v>
      </x:c>
      <x:c r="N5" s="67" t="str">
        <x:v>初建成本：木50</x:v>
      </x:c>
      <x:c r="P5" s="210" t="str">
        <x:v>阶段</x:v>
      </x:c>
      <x:c r="Q5" s="210" t="str">
        <x:v>技能名称</x:v>
      </x:c>
      <x:c r="R5" s="210" t="str">
        <x:v>文本来源</x:v>
      </x:c>
      <x:c r="S5" s="210" t="str">
        <x:v>等级/数值</x:v>
      </x:c>
      <x:c r="T5" s="210" t="str">
        <x:v>文本描述</x:v>
      </x:c>
      <x:c r="U5" s="210" t="str">
        <x:v>升级规律</x:v>
      </x:c>
      <x:c r="V5" s="210" t="str">
        <x:v>备注</x:v>
      </x:c>
    </x:row>
    <x:row r="6">
      <x:c r="A6" s="65" t="n">
        <x:v>2</x:v>
      </x:c>
      <x:c r="B6" s="65" t="str">
        <x:v>箭塔</x:v>
      </x:c>
      <x:c r="C6" s="65" t="str"/>
      <x:c r="D6" s="65" t="str">
        <x:v>箭塔1-2</x:v>
      </x:c>
      <x:c r="E6" s="66" t="n">
        <x:v>251</x:v>
      </x:c>
      <x:c r="F6" s="66" t="n">
        <x:f>E6-E5</x:f>
        <x:v>79</x:v>
      </x:c>
      <x:c r="G6" s="66" t="n">
        <x:v>0</x:v>
      </x:c>
      <x:c r="H6" s="66" t="n">
        <x:v>100</x:v>
      </x:c>
      <x:c r="I6" s="66" t="n">
        <x:v>0</x:v>
      </x:c>
      <x:c r="J6" s="66" t="n">
        <x:f>J5+G6</x:f>
        <x:v>0</x:v>
      </x:c>
      <x:c r="K6" s="66" t="n">
        <x:f>K5+H6</x:f>
        <x:v>150</x:v>
      </x:c>
      <x:c r="L6" s="67" t="str">
        <x:v>无特殊技能展示</x:v>
      </x:c>
      <x:c r="M6" s="67" t="str">
        <x:v>雷电路线</x:v>
      </x:c>
      <x:c r="N6" s="67" t="str">
        <x:v>箭塔1-1→1-2实录差值为+79</x:v>
      </x:c>
      <x:c r="P6" s="214" t="str">
        <x:v>N阶段</x:v>
      </x:c>
      <x:c r="Q6" s="214" t="str">
        <x:v>闪电打击</x:v>
      </x:c>
      <x:c r="R6" s="214" t="str">
        <x:v>实际技能</x:v>
      </x:c>
      <x:c r="S6" s="214" t="str">
        <x:v>Lv2→Lv5</x:v>
      </x:c>
      <x:c r="T6" s="214" t="str">
        <x:v>攻击会弹射4/5/6/7个敌人，造成自身攻击力100%的伤害；每次弹射伤害衰减10%</x:v>
      </x:c>
      <x:c r="U6" s="214" t="str">
        <x:v>每次升级弹射次数+1</x:v>
      </x:c>
      <x:c r="V6" s="214" t="str">
        <x:v>闪电塔LV4达到Lv5，LV5保持</x:v>
      </x:c>
    </x:row>
    <x:row r="7">
      <x:c r="A7" s="65" t="n">
        <x:v>3</x:v>
      </x:c>
      <x:c r="B7" s="65" t="str">
        <x:v>箭塔</x:v>
      </x:c>
      <x:c r="C7" s="65" t="str"/>
      <x:c r="D7" s="65" t="str">
        <x:v>箭塔1-3</x:v>
      </x:c>
      <x:c r="E7" s="66" t="n">
        <x:v>301</x:v>
      </x:c>
      <x:c r="F7" s="66" t="n">
        <x:f>E7-E6</x:f>
        <x:v>50</x:v>
      </x:c>
      <x:c r="G7" s="66" t="n">
        <x:v>0</x:v>
      </x:c>
      <x:c r="H7" s="66" t="n">
        <x:v>200</x:v>
      </x:c>
      <x:c r="I7" s="66" t="n">
        <x:v>0</x:v>
      </x:c>
      <x:c r="J7" s="66" t="n">
        <x:f>J6+G7</x:f>
        <x:v>0</x:v>
      </x:c>
      <x:c r="K7" s="66" t="n">
        <x:f>K6+H7</x:f>
        <x:v>350</x:v>
      </x:c>
      <x:c r="L7" s="67" t="str">
        <x:v>无特殊技能展示</x:v>
      </x:c>
      <x:c r="M7" s="67" t="str">
        <x:v>雷电路线</x:v>
      </x:c>
      <x:c r="N7" s="67" t="str"/>
      <x:c r="P7" s="215" t="str">
        <x:v>R阶段</x:v>
      </x:c>
      <x:c r="Q7" s="215" t="str">
        <x:v>闪电魔塔</x:v>
      </x:c>
      <x:c r="R7" s="215" t="str">
        <x:v>实际技能</x:v>
      </x:c>
      <x:c r="S7" s="215" t="str">
        <x:v>Lv2→Lv5</x:v>
      </x:c>
      <x:c r="T7" s="215" t="str">
        <x:v>击杀敌人产生雷电风暴区域，每1秒落下雷电攻击区域内的敌人</x:v>
      </x:c>
      <x:c r="U7" s="215" t="str">
        <x:v>橙字写明“每次升级提高频率”</x:v>
      </x:c>
      <x:c r="V7" s="215" t="str">
        <x:v>录像中Lv3和Lv5文本都显示每1秒，无法只靠文字分离内部频率</x:v>
      </x:c>
    </x:row>
    <x:row r="8">
      <x:c r="A8" s="65" t="n">
        <x:v>4</x:v>
      </x:c>
      <x:c r="B8" s="65" t="str">
        <x:v>箭塔</x:v>
      </x:c>
      <x:c r="C8" s="65" t="str"/>
      <x:c r="D8" s="65" t="str">
        <x:v>箭塔1-4</x:v>
      </x:c>
      <x:c r="E8" s="66" t="n">
        <x:v>401</x:v>
      </x:c>
      <x:c r="F8" s="66" t="n">
        <x:f>E8-E7</x:f>
        <x:v>100</x:v>
      </x:c>
      <x:c r="G8" s="66" t="n">
        <x:v>0</x:v>
      </x:c>
      <x:c r="H8" s="66" t="n">
        <x:v>250</x:v>
      </x:c>
      <x:c r="I8" s="66" t="n">
        <x:v>0</x:v>
      </x:c>
      <x:c r="J8" s="66" t="n">
        <x:f>J7+G8</x:f>
        <x:v>0</x:v>
      </x:c>
      <x:c r="K8" s="66" t="n">
        <x:f>K7+H8</x:f>
        <x:v>600</x:v>
      </x:c>
      <x:c r="L8" s="67" t="str">
        <x:v>无特殊技能展示</x:v>
      </x:c>
      <x:c r="M8" s="67" t="str">
        <x:v>雷电路线</x:v>
      </x:c>
      <x:c r="N8" s="67" t="str"/>
      <x:c r="P8" s="214" t="str">
        <x:v>最终阶段</x:v>
      </x:c>
      <x:c r="Q8" s="214" t="str">
        <x:v>雷电扩散</x:v>
      </x:c>
      <x:c r="R8" s="214" t="str">
        <x:v>实际技能</x:v>
      </x:c>
      <x:c r="S8" s="214" t="str">
        <x:v>Lv1</x:v>
      </x:c>
      <x:c r="T8" s="214" t="str">
        <x:v>落雷有30%几率扩散，对半径200码范围造成该次伤害200%伤害</x:v>
      </x:c>
      <x:c r="U8" s="214" t="str">
        <x:v>雷电扩散LV1至LV10保持不变</x:v>
      </x:c>
      <x:c r="V8" s="214" t="str">
        <x:v>录像直接确认</x:v>
      </x:c>
    </x:row>
    <x:row r="9">
      <x:c r="A9" s="65" t="n">
        <x:v>5</x:v>
      </x:c>
      <x:c r="B9" s="65" t="str">
        <x:v>箭塔</x:v>
      </x:c>
      <x:c r="C9" s="65" t="str"/>
      <x:c r="D9" s="65" t="str">
        <x:v>箭塔1-5</x:v>
      </x:c>
      <x:c r="E9" s="66" t="n">
        <x:v>501</x:v>
      </x:c>
      <x:c r="F9" s="66" t="n">
        <x:f>E9-E8</x:f>
        <x:v>100</x:v>
      </x:c>
      <x:c r="G9" s="66" t="n">
        <x:v>0</x:v>
      </x:c>
      <x:c r="H9" s="66" t="n">
        <x:v>300</x:v>
      </x:c>
      <x:c r="I9" s="66" t="n">
        <x:v>0</x:v>
      </x:c>
      <x:c r="J9" s="66" t="n">
        <x:f>J8+G9</x:f>
        <x:v>0</x:v>
      </x:c>
      <x:c r="K9" s="66" t="n">
        <x:f>K8+H9</x:f>
        <x:v>900</x:v>
      </x:c>
      <x:c r="L9" s="67" t="str">
        <x:v>无特殊技能展示</x:v>
      </x:c>
      <x:c r="M9" s="67" t="str">
        <x:v>雷电路线</x:v>
      </x:c>
      <x:c r="N9" s="67" t="str"/>
    </x:row>
    <x:row r="10">
      <x:c r="A10" s="71" t="n">
        <x:v>6</x:v>
      </x:c>
      <x:c r="B10" s="71" t="str">
        <x:v>闪电塔</x:v>
      </x:c>
      <x:c r="C10" s="71" t="str">
        <x:v>N</x:v>
      </x:c>
      <x:c r="D10" s="71" t="str">
        <x:v>闪电塔LV1</x:v>
      </x:c>
      <x:c r="E10" s="72" t="n">
        <x:v>901</x:v>
      </x:c>
      <x:c r="F10" s="72" t="n">
        <x:f>E10-E9</x:f>
        <x:v>400</x:v>
      </x:c>
      <x:c r="G10" s="72" t="n">
        <x:v>20</x:v>
      </x:c>
      <x:c r="H10" s="72" t="n">
        <x:v>1000</x:v>
      </x:c>
      <x:c r="I10" s="72" t="n">
        <x:v>1</x:v>
      </x:c>
      <x:c r="J10" s="72" t="n">
        <x:f>J9+G10</x:f>
        <x:v>20</x:v>
      </x:c>
      <x:c r="K10" s="72" t="n">
        <x:f>K9+H10</x:f>
        <x:v>1900</x:v>
      </x:c>
      <x:c r="L10" s="73" t="str">
        <x:v>闪电打击Lv2：弹射4个敌人；100%攻击力；每次弹射衰减10%</x:v>
      </x:c>
      <x:c r="M10" s="73" t="str">
        <x:v>雷电路线</x:v>
      </x:c>
      <x:c r="N10" s="73" t="str">
        <x:v>N阶段转职；人口+1</x:v>
      </x:c>
    </x:row>
    <x:row r="11">
      <x:c r="A11" s="71" t="n">
        <x:v>7</x:v>
      </x:c>
      <x:c r="B11" s="71" t="str">
        <x:v>闪电塔</x:v>
      </x:c>
      <x:c r="C11" s="71" t="str">
        <x:v>N</x:v>
      </x:c>
      <x:c r="D11" s="71" t="str">
        <x:v>闪电塔LV2</x:v>
      </x:c>
      <x:c r="E11" s="72" t="n">
        <x:v>1501</x:v>
      </x:c>
      <x:c r="F11" s="72" t="n">
        <x:f>E11-E10</x:f>
        <x:v>600</x:v>
      </x:c>
      <x:c r="G11" s="72" t="n">
        <x:v>50</x:v>
      </x:c>
      <x:c r="H11" s="72" t="n">
        <x:v>1500</x:v>
      </x:c>
      <x:c r="I11" s="72" t="n">
        <x:v>0</x:v>
      </x:c>
      <x:c r="J11" s="72" t="n">
        <x:f>J10+G11</x:f>
        <x:v>70</x:v>
      </x:c>
      <x:c r="K11" s="72" t="n">
        <x:f>K10+H11</x:f>
        <x:v>3400</x:v>
      </x:c>
      <x:c r="L11" s="73" t="str">
        <x:v>闪电打击Lv3：弹射5个敌人；100%攻击力；每次弹射衰减10%</x:v>
      </x:c>
      <x:c r="M11" s="73" t="str">
        <x:v>雷电路线</x:v>
      </x:c>
      <x:c r="N11" s="73" t="str"/>
    </x:row>
    <x:row r="12">
      <x:c r="A12" s="71" t="n">
        <x:v>8</x:v>
      </x:c>
      <x:c r="B12" s="71" t="str">
        <x:v>闪电塔</x:v>
      </x:c>
      <x:c r="C12" s="71" t="str">
        <x:v>N</x:v>
      </x:c>
      <x:c r="D12" s="71" t="str">
        <x:v>闪电塔LV3</x:v>
      </x:c>
      <x:c r="E12" s="72" t="n">
        <x:v>2101</x:v>
      </x:c>
      <x:c r="F12" s="72" t="n">
        <x:f>E12-E11</x:f>
        <x:v>600</x:v>
      </x:c>
      <x:c r="G12" s="72" t="n">
        <x:v>200</x:v>
      </x:c>
      <x:c r="H12" s="72" t="n">
        <x:v>2000</x:v>
      </x:c>
      <x:c r="I12" s="72" t="n">
        <x:v>0</x:v>
      </x:c>
      <x:c r="J12" s="72" t="n">
        <x:f>J11+G12</x:f>
        <x:v>270</x:v>
      </x:c>
      <x:c r="K12" s="72" t="n">
        <x:f>K11+H12</x:f>
        <x:v>5400</x:v>
      </x:c>
      <x:c r="L12" s="73" t="str">
        <x:v>闪电打击Lv4：弹射6个敌人；100%攻击力；每次弹射衰减10%</x:v>
      </x:c>
      <x:c r="M12" s="73" t="str">
        <x:v>雷电路线</x:v>
      </x:c>
      <x:c r="N12" s="73" t="str"/>
    </x:row>
    <x:row r="13">
      <x:c r="A13" s="71" t="n">
        <x:v>9</x:v>
      </x:c>
      <x:c r="B13" s="71" t="str">
        <x:v>闪电塔</x:v>
      </x:c>
      <x:c r="C13" s="71" t="str">
        <x:v>N</x:v>
      </x:c>
      <x:c r="D13" s="71" t="str">
        <x:v>闪电塔LV4</x:v>
      </x:c>
      <x:c r="E13" s="72" t="n">
        <x:v>3901</x:v>
      </x:c>
      <x:c r="F13" s="72" t="n">
        <x:f>E13-E12</x:f>
        <x:v>1800</x:v>
      </x:c>
      <x:c r="G13" s="72" t="n">
        <x:v>500</x:v>
      </x:c>
      <x:c r="H13" s="72" t="n">
        <x:v>2500</x:v>
      </x:c>
      <x:c r="I13" s="72" t="n">
        <x:v>0</x:v>
      </x:c>
      <x:c r="J13" s="72" t="n">
        <x:f>J12+G13</x:f>
        <x:v>770</x:v>
      </x:c>
      <x:c r="K13" s="72" t="n">
        <x:f>K12+H13</x:f>
        <x:v>7900</x:v>
      </x:c>
      <x:c r="L13" s="73" t="str">
        <x:v>闪电打击Lv5：弹射7个敌人；100%攻击力；每次弹射衰减10%</x:v>
      </x:c>
      <x:c r="M13" s="73" t="str">
        <x:v>雷电路线</x:v>
      </x:c>
      <x:c r="N13" s="73" t="str"/>
    </x:row>
    <x:row r="14">
      <x:c r="A14" s="71" t="n">
        <x:v>10</x:v>
      </x:c>
      <x:c r="B14" s="71" t="str">
        <x:v>闪电塔</x:v>
      </x:c>
      <x:c r="C14" s="71" t="str">
        <x:v>N</x:v>
      </x:c>
      <x:c r="D14" s="71" t="str">
        <x:v>闪电塔LV5</x:v>
      </x:c>
      <x:c r="E14" s="72" t="n">
        <x:v>6101</x:v>
      </x:c>
      <x:c r="F14" s="72" t="n">
        <x:f>E14-E13</x:f>
        <x:v>2200</x:v>
      </x:c>
      <x:c r="G14" s="72" t="n">
        <x:v>1000</x:v>
      </x:c>
      <x:c r="H14" s="72" t="n">
        <x:v>3000</x:v>
      </x:c>
      <x:c r="I14" s="72" t="n">
        <x:v>0</x:v>
      </x:c>
      <x:c r="J14" s="72" t="n">
        <x:f>J13+G14</x:f>
        <x:v>1770</x:v>
      </x:c>
      <x:c r="K14" s="72" t="n">
        <x:f>K13+H14</x:f>
        <x:v>10900</x:v>
      </x:c>
      <x:c r="L14" s="73" t="str">
        <x:v>闪电打击Lv5：弹射7个敌人；100%攻击力；每次弹射衰减10%</x:v>
      </x:c>
      <x:c r="M14" s="73" t="str">
        <x:v>雷电路线</x:v>
      </x:c>
      <x:c r="N14" s="73" t="str"/>
    </x:row>
    <x:row r="15">
      <x:c r="A15" s="77" t="n">
        <x:v>11</x:v>
      </x:c>
      <x:c r="B15" s="77" t="str">
        <x:v>闪电魔塔</x:v>
      </x:c>
      <x:c r="C15" s="77" t="str">
        <x:v>R</x:v>
      </x:c>
      <x:c r="D15" s="77" t="str">
        <x:v>闪电魔塔LV1</x:v>
      </x:c>
      <x:c r="E15" s="78" t="n">
        <x:v>12101</x:v>
      </x:c>
      <x:c r="F15" s="78" t="n">
        <x:f>E15-E14</x:f>
        <x:v>6000</x:v>
      </x:c>
      <x:c r="G15" s="78" t="n">
        <x:v>1000</x:v>
      </x:c>
      <x:c r="H15" s="78" t="n">
        <x:v>20000</x:v>
      </x:c>
      <x:c r="I15" s="78" t="n">
        <x:v>1</x:v>
      </x:c>
      <x:c r="J15" s="78" t="n">
        <x:f>J14+G15</x:f>
        <x:v>2770</x:v>
      </x:c>
      <x:c r="K15" s="78" t="n">
        <x:f>K14+H15</x:f>
        <x:v>30900</x:v>
      </x:c>
      <x:c r="L15" s="79" t="str">
        <x:v>闪电打击Lv5：弹射7个
闪电魔塔Lv2：击杀生成雷电风暴区域；文本显示每1秒落雷</x:v>
      </x:c>
      <x:c r="M15" s="79" t="str">
        <x:v>雷电路线</x:v>
      </x:c>
      <x:c r="N15" s="79" t="str">
        <x:v>R阶段转职；人口+1</x:v>
      </x:c>
    </x:row>
    <x:row r="16">
      <x:c r="A16" s="77" t="n">
        <x:v>12</x:v>
      </x:c>
      <x:c r="B16" s="77" t="str">
        <x:v>闪电魔塔</x:v>
      </x:c>
      <x:c r="C16" s="77" t="str">
        <x:v>R</x:v>
      </x:c>
      <x:c r="D16" s="77" t="str">
        <x:v>闪电魔塔LV2</x:v>
      </x:c>
      <x:c r="E16" s="78" t="n">
        <x:v>35101</x:v>
      </x:c>
      <x:c r="F16" s="78" t="n">
        <x:f>E16-E15</x:f>
        <x:v>23000</x:v>
      </x:c>
      <x:c r="G16" s="78" t="n">
        <x:v>2000</x:v>
      </x:c>
      <x:c r="H16" s="78" t="n">
        <x:v>40000</x:v>
      </x:c>
      <x:c r="I16" s="78" t="n">
        <x:v>0</x:v>
      </x:c>
      <x:c r="J16" s="78" t="n">
        <x:f>J15+G16</x:f>
        <x:v>4770</x:v>
      </x:c>
      <x:c r="K16" s="78" t="n">
        <x:f>K15+H16</x:f>
        <x:v>70900</x:v>
      </x:c>
      <x:c r="L16" s="79" t="str">
        <x:v>闪电打击Lv5：弹射7个
闪电魔塔Lv3：击杀生成雷电风暴区域；文本显示每1秒落雷</x:v>
      </x:c>
      <x:c r="M16" s="79" t="str">
        <x:v>雷电路线</x:v>
      </x:c>
      <x:c r="N16" s="79" t="str"/>
    </x:row>
    <x:row r="17">
      <x:c r="A17" s="77" t="n">
        <x:v>13</x:v>
      </x:c>
      <x:c r="B17" s="77" t="str">
        <x:v>闪电魔塔</x:v>
      </x:c>
      <x:c r="C17" s="77" t="str">
        <x:v>R</x:v>
      </x:c>
      <x:c r="D17" s="77" t="str">
        <x:v>闪电魔塔LV3</x:v>
      </x:c>
      <x:c r="E17" s="78" t="n">
        <x:v>50101</x:v>
      </x:c>
      <x:c r="F17" s="78" t="n">
        <x:f>E17-E16</x:f>
        <x:v>15000</x:v>
      </x:c>
      <x:c r="G17" s="78" t="n">
        <x:v>5000</x:v>
      </x:c>
      <x:c r="H17" s="78" t="n">
        <x:v>60000</x:v>
      </x:c>
      <x:c r="I17" s="78" t="n">
        <x:v>0</x:v>
      </x:c>
      <x:c r="J17" s="78" t="n">
        <x:f>J16+G17</x:f>
        <x:v>9770</x:v>
      </x:c>
      <x:c r="K17" s="78" t="n">
        <x:f>K16+H17</x:f>
        <x:v>130900</x:v>
      </x:c>
      <x:c r="L17" s="79" t="str">
        <x:v>闪电打击Lv5：弹射7个
闪电魔塔Lv4：击杀生成雷电风暴区域；文本显示每1秒落雷</x:v>
      </x:c>
      <x:c r="M17" s="79" t="str">
        <x:v>雷电路线</x:v>
      </x:c>
      <x:c r="N17" s="79" t="str"/>
    </x:row>
    <x:row r="18">
      <x:c r="A18" s="77" t="n">
        <x:v>14</x:v>
      </x:c>
      <x:c r="B18" s="77" t="str">
        <x:v>闪电魔塔</x:v>
      </x:c>
      <x:c r="C18" s="77" t="str">
        <x:v>R</x:v>
      </x:c>
      <x:c r="D18" s="77" t="str">
        <x:v>闪电魔塔LV4</x:v>
      </x:c>
      <x:c r="E18" s="78" t="n">
        <x:v>75101</x:v>
      </x:c>
      <x:c r="F18" s="78" t="n">
        <x:f>E18-E17</x:f>
        <x:v>25000</x:v>
      </x:c>
      <x:c r="G18" s="78" t="n">
        <x:v>10000</x:v>
      </x:c>
      <x:c r="H18" s="78" t="n">
        <x:v>100000</x:v>
      </x:c>
      <x:c r="I18" s="78" t="n">
        <x:v>0</x:v>
      </x:c>
      <x:c r="J18" s="78" t="n">
        <x:f>J17+G18</x:f>
        <x:v>19770</x:v>
      </x:c>
      <x:c r="K18" s="78" t="n">
        <x:f>K17+H18</x:f>
        <x:v>230900</x:v>
      </x:c>
      <x:c r="L18" s="79" t="str">
        <x:v>闪电打击Lv5：弹射7个
闪电魔塔Lv5：击杀生成雷电风暴区域；文本显示每1秒落雷</x:v>
      </x:c>
      <x:c r="M18" s="79" t="str">
        <x:v>雷电路线</x:v>
      </x:c>
      <x:c r="N18" s="79" t="str"/>
    </x:row>
    <x:row r="19">
      <x:c r="A19" s="77" t="n">
        <x:v>15</x:v>
      </x:c>
      <x:c r="B19" s="77" t="str">
        <x:v>闪电魔塔</x:v>
      </x:c>
      <x:c r="C19" s="77" t="str">
        <x:v>R</x:v>
      </x:c>
      <x:c r="D19" s="77" t="str">
        <x:v>闪电魔塔LV5</x:v>
      </x:c>
      <x:c r="E19" s="78" t="n">
        <x:v>108101</x:v>
      </x:c>
      <x:c r="F19" s="78" t="n">
        <x:f>E19-E18</x:f>
        <x:v>33000</x:v>
      </x:c>
      <x:c r="G19" s="78" t="n">
        <x:v>20000</x:v>
      </x:c>
      <x:c r="H19" s="78" t="n">
        <x:v>100000</x:v>
      </x:c>
      <x:c r="I19" s="78" t="n">
        <x:v>0</x:v>
      </x:c>
      <x:c r="J19" s="78" t="n">
        <x:f>J18+G19</x:f>
        <x:v>39770</x:v>
      </x:c>
      <x:c r="K19" s="78" t="n">
        <x:f>K18+H19</x:f>
        <x:v>330900</x:v>
      </x:c>
      <x:c r="L19" s="79" t="str">
        <x:v>闪电打击Lv5：弹射7个
闪电魔塔Lv5：击杀生成雷电风暴区域；文本显示每1秒落雷</x:v>
      </x:c>
      <x:c r="M19" s="79" t="str">
        <x:v>雷电路线</x:v>
      </x:c>
      <x:c r="N19" s="79" t="str"/>
    </x:row>
    <x:row r="20">
      <x:c r="A20" s="83" t="n">
        <x:v>16</x:v>
      </x:c>
      <x:c r="B20" s="83" t="str">
        <x:v>雷电扩散</x:v>
      </x:c>
      <x:c r="C20" s="83" t="str">
        <x:v>SR</x:v>
      </x:c>
      <x:c r="D20" s="83" t="str">
        <x:v>雷电扩散LV1</x:v>
      </x:c>
      <x:c r="E20" s="84" t="n">
        <x:v>308101</x:v>
      </x:c>
      <x:c r="F20" s="84" t="n">
        <x:f>E20-E19</x:f>
        <x:v>200000</x:v>
      </x:c>
      <x:c r="G20" s="84" t="n">
        <x:v>30000</x:v>
      </x:c>
      <x:c r="H20" s="84" t="n">
        <x:v>200000</x:v>
      </x:c>
      <x:c r="I20" s="84" t="n">
        <x:v>2</x:v>
      </x:c>
      <x:c r="J20" s="84" t="n">
        <x:f>J19+G20</x:f>
        <x:v>69770</x:v>
      </x:c>
      <x:c r="K20" s="84" t="n">
        <x:f>K19+H20</x:f>
        <x:v>530900</x:v>
      </x:c>
      <x:c r="L20" s="85" t="str">
        <x:v>闪电打击Lv5：弹射7个；每次衰减10%
闪电魔塔Lv5：击杀生成雷电风暴区域，每1秒落雷
雷电扩散Lv1：落雷30%几率扩散，对200码范围造成该次伤害200%</x:v>
      </x:c>
      <x:c r="M20" s="85" t="str">
        <x:v>雷电路线</x:v>
      </x:c>
      <x:c r="N20" s="85" t="str">
        <x:v>SR阶段转职；人口+2</x:v>
      </x:c>
    </x:row>
    <x:row r="21">
      <x:c r="A21" s="83" t="n">
        <x:v>17</x:v>
      </x:c>
      <x:c r="B21" s="83" t="str">
        <x:v>雷电扩散</x:v>
      </x:c>
      <x:c r="C21" s="83" t="str">
        <x:v>SR</x:v>
      </x:c>
      <x:c r="D21" s="83" t="str">
        <x:v>雷电扩散LV2</x:v>
      </x:c>
      <x:c r="E21" s="84" t="n">
        <x:v>508101</x:v>
      </x:c>
      <x:c r="F21" s="84" t="n">
        <x:f>E21-E20</x:f>
        <x:v>200000</x:v>
      </x:c>
      <x:c r="G21" s="84" t="n">
        <x:v>60000</x:v>
      </x:c>
      <x:c r="H21" s="84" t="n">
        <x:v>200000</x:v>
      </x:c>
      <x:c r="I21" s="84" t="n">
        <x:v>0</x:v>
      </x:c>
      <x:c r="J21" s="84" t="n">
        <x:f>J20+G21</x:f>
        <x:v>129770</x:v>
      </x:c>
      <x:c r="K21" s="84" t="n">
        <x:f>K20+H21</x:f>
        <x:v>730900</x:v>
      </x:c>
      <x:c r="L21" s="85" t="str">
        <x:v>闪电打击Lv5：弹射7个；每次衰减10%
闪电魔塔Lv5：击杀生成雷电风暴区域，每1秒落雷
雷电扩散Lv1：落雷30%几率扩散，对200码范围造成该次伤害200%</x:v>
      </x:c>
      <x:c r="M21" s="85" t="str">
        <x:v>雷电路线</x:v>
      </x:c>
      <x:c r="N21" s="85" t="str"/>
    </x:row>
    <x:row r="22">
      <x:c r="A22" s="83" t="n">
        <x:v>18</x:v>
      </x:c>
      <x:c r="B22" s="83" t="str">
        <x:v>雷电扩散</x:v>
      </x:c>
      <x:c r="C22" s="83" t="str">
        <x:v>SR</x:v>
      </x:c>
      <x:c r="D22" s="83" t="str">
        <x:v>雷电扩散LV3</x:v>
      </x:c>
      <x:c r="E22" s="84" t="n">
        <x:v>808101</x:v>
      </x:c>
      <x:c r="F22" s="84" t="n">
        <x:f>E22-E21</x:f>
        <x:v>300000</x:v>
      </x:c>
      <x:c r="G22" s="84" t="n">
        <x:v>90000</x:v>
      </x:c>
      <x:c r="H22" s="84" t="n">
        <x:v>200000</x:v>
      </x:c>
      <x:c r="I22" s="84" t="n">
        <x:v>0</x:v>
      </x:c>
      <x:c r="J22" s="84" t="n">
        <x:f>J21+G22</x:f>
        <x:v>219770</x:v>
      </x:c>
      <x:c r="K22" s="84" t="n">
        <x:f>K21+H22</x:f>
        <x:v>930900</x:v>
      </x:c>
      <x:c r="L22" s="85" t="str">
        <x:v>闪电打击Lv5：弹射7个；每次衰减10%
闪电魔塔Lv5：击杀生成雷电风暴区域，每1秒落雷
雷电扩散Lv1：落雷30%几率扩散，对200码范围造成该次伤害200%</x:v>
      </x:c>
      <x:c r="M22" s="85" t="str">
        <x:v>雷电路线</x:v>
      </x:c>
      <x:c r="N22" s="85" t="str"/>
    </x:row>
    <x:row r="23">
      <x:c r="A23" s="83" t="n">
        <x:v>19</x:v>
      </x:c>
      <x:c r="B23" s="83" t="str">
        <x:v>雷电扩散</x:v>
      </x:c>
      <x:c r="C23" s="83" t="str">
        <x:v>SR</x:v>
      </x:c>
      <x:c r="D23" s="83" t="str">
        <x:v>雷电扩散LV4</x:v>
      </x:c>
      <x:c r="E23" s="84" t="n">
        <x:v>1008101</x:v>
      </x:c>
      <x:c r="F23" s="84" t="n">
        <x:f>E23-E22</x:f>
        <x:v>200000</x:v>
      </x:c>
      <x:c r="G23" s="84" t="n">
        <x:v>120000</x:v>
      </x:c>
      <x:c r="H23" s="84" t="n">
        <x:v>200000</x:v>
      </x:c>
      <x:c r="I23" s="84" t="n">
        <x:v>0</x:v>
      </x:c>
      <x:c r="J23" s="84" t="n">
        <x:f>J22+G23</x:f>
        <x:v>339770</x:v>
      </x:c>
      <x:c r="K23" s="84" t="n">
        <x:f>K22+H23</x:f>
        <x:v>1130900</x:v>
      </x:c>
      <x:c r="L23" s="85" t="str">
        <x:v>闪电打击Lv5：弹射7个；每次衰减10%
闪电魔塔Lv5：击杀生成雷电风暴区域，每1秒落雷
雷电扩散Lv1：落雷30%几率扩散，对200码范围造成该次伤害200%</x:v>
      </x:c>
      <x:c r="M23" s="85" t="str">
        <x:v>雷电路线</x:v>
      </x:c>
      <x:c r="N23" s="85" t="str"/>
    </x:row>
    <x:row r="24">
      <x:c r="A24" s="83" t="n">
        <x:v>20</x:v>
      </x:c>
      <x:c r="B24" s="83" t="str">
        <x:v>雷电扩散</x:v>
      </x:c>
      <x:c r="C24" s="83" t="str">
        <x:v>SR</x:v>
      </x:c>
      <x:c r="D24" s="83" t="str">
        <x:v>雷电扩散LV5</x:v>
      </x:c>
      <x:c r="E24" s="84" t="n">
        <x:v>1508101</x:v>
      </x:c>
      <x:c r="F24" s="84" t="n">
        <x:f>E24-E23</x:f>
        <x:v>500000</x:v>
      </x:c>
      <x:c r="G24" s="84" t="n">
        <x:v>150000</x:v>
      </x:c>
      <x:c r="H24" s="84" t="n">
        <x:v>200000</x:v>
      </x:c>
      <x:c r="I24" s="84" t="n">
        <x:v>0</x:v>
      </x:c>
      <x:c r="J24" s="84" t="n">
        <x:f>J23+G24</x:f>
        <x:v>489770</x:v>
      </x:c>
      <x:c r="K24" s="84" t="n">
        <x:f>K23+H24</x:f>
        <x:v>1330900</x:v>
      </x:c>
      <x:c r="L24" s="85" t="str">
        <x:v>闪电打击Lv5：弹射7个；每次衰减10%
闪电魔塔Lv5：击杀生成雷电风暴区域，每1秒落雷
雷电扩散Lv1：落雷30%几率扩散，对200码范围造成该次伤害200%</x:v>
      </x:c>
      <x:c r="M24" s="85" t="str">
        <x:v>雷电路线</x:v>
      </x:c>
      <x:c r="N24" s="85" t="str"/>
    </x:row>
    <x:row r="25">
      <x:c r="A25" s="83" t="n">
        <x:v>21</x:v>
      </x:c>
      <x:c r="B25" s="83" t="str">
        <x:v>雷电扩散</x:v>
      </x:c>
      <x:c r="C25" s="83" t="str">
        <x:v>SSR</x:v>
      </x:c>
      <x:c r="D25" s="83" t="str">
        <x:v>雷电扩散LV6</x:v>
      </x:c>
      <x:c r="E25" s="84" t="n">
        <x:v>2008101</x:v>
      </x:c>
      <x:c r="F25" s="84" t="n">
        <x:f>E25-E24</x:f>
        <x:v>500000</x:v>
      </x:c>
      <x:c r="G25" s="84" t="n">
        <x:v>200000</x:v>
      </x:c>
      <x:c r="H25" s="84" t="n">
        <x:v>400000</x:v>
      </x:c>
      <x:c r="I25" s="84" t="n">
        <x:v>0</x:v>
      </x:c>
      <x:c r="J25" s="84" t="n">
        <x:f>J24+G25</x:f>
        <x:v>689770</x:v>
      </x:c>
      <x:c r="K25" s="84" t="n">
        <x:f>K24+H25</x:f>
        <x:v>1730900</x:v>
      </x:c>
      <x:c r="L25" s="85" t="str">
        <x:v>闪电打击Lv5：弹射7个；每次衰减10%
闪电魔塔Lv5：击杀生成雷电风暴区域，每1秒落雷
雷电扩散Lv1：落雷30%几率扩散，对200码范围造成该次伤害200%</x:v>
      </x:c>
      <x:c r="M25" s="85" t="str">
        <x:v>雷电路线</x:v>
      </x:c>
      <x:c r="N25" s="85" t="str">
        <x:v>最终塔LV6开始稀有度前缀变为SSR</x:v>
      </x:c>
    </x:row>
    <x:row r="26">
      <x:c r="A26" s="83" t="n">
        <x:v>22</x:v>
      </x:c>
      <x:c r="B26" s="83" t="str">
        <x:v>雷电扩散</x:v>
      </x:c>
      <x:c r="C26" s="83" t="str">
        <x:v>SSR</x:v>
      </x:c>
      <x:c r="D26" s="83" t="str">
        <x:v>雷电扩散LV7</x:v>
      </x:c>
      <x:c r="E26" s="84" t="n">
        <x:v>3008101</x:v>
      </x:c>
      <x:c r="F26" s="84" t="n">
        <x:f>E26-E25</x:f>
        <x:v>1000000</x:v>
      </x:c>
      <x:c r="G26" s="84" t="n">
        <x:v>250000</x:v>
      </x:c>
      <x:c r="H26" s="84" t="n">
        <x:v>500000</x:v>
      </x:c>
      <x:c r="I26" s="84" t="n">
        <x:v>0</x:v>
      </x:c>
      <x:c r="J26" s="84" t="n">
        <x:f>J25+G26</x:f>
        <x:v>939770</x:v>
      </x:c>
      <x:c r="K26" s="84" t="n">
        <x:f>K25+H26</x:f>
        <x:v>2230900</x:v>
      </x:c>
      <x:c r="L26" s="85" t="str">
        <x:v>闪电打击Lv5：弹射7个；每次衰减10%
闪电魔塔Lv5：击杀生成雷电风暴区域，每1秒落雷
雷电扩散Lv1：落雷30%几率扩散，对200码范围造成该次伤害200%</x:v>
      </x:c>
      <x:c r="M26" s="85" t="str">
        <x:v>雷电路线</x:v>
      </x:c>
      <x:c r="N26" s="85" t="str"/>
    </x:row>
    <x:row r="27">
      <x:c r="A27" s="83" t="n">
        <x:v>23</x:v>
      </x:c>
      <x:c r="B27" s="83" t="str">
        <x:v>雷电扩散</x:v>
      </x:c>
      <x:c r="C27" s="83" t="str">
        <x:v>SSR</x:v>
      </x:c>
      <x:c r="D27" s="83" t="str">
        <x:v>雷电扩散LV8</x:v>
      </x:c>
      <x:c r="E27" s="84" t="n">
        <x:v>4008101</x:v>
      </x:c>
      <x:c r="F27" s="84" t="n">
        <x:f>E27-E26</x:f>
        <x:v>1000000</x:v>
      </x:c>
      <x:c r="G27" s="84" t="n">
        <x:v>300000</x:v>
      </x:c>
      <x:c r="H27" s="84" t="n">
        <x:v>600000</x:v>
      </x:c>
      <x:c r="I27" s="84" t="n">
        <x:v>0</x:v>
      </x:c>
      <x:c r="J27" s="84" t="n">
        <x:f>J26+G27</x:f>
        <x:v>1239770</x:v>
      </x:c>
      <x:c r="K27" s="84" t="n">
        <x:f>K26+H27</x:f>
        <x:v>2830900</x:v>
      </x:c>
      <x:c r="L27" s="85" t="str">
        <x:v>闪电打击Lv5：弹射7个；每次衰减10%
闪电魔塔Lv5：击杀生成雷电风暴区域，每1秒落雷
雷电扩散Lv1：落雷30%几率扩散，对200码范围造成该次伤害200%</x:v>
      </x:c>
      <x:c r="M27" s="85" t="str">
        <x:v>雷电路线</x:v>
      </x:c>
      <x:c r="N27" s="85" t="str"/>
    </x:row>
    <x:row r="28">
      <x:c r="A28" s="83" t="n">
        <x:v>24</x:v>
      </x:c>
      <x:c r="B28" s="83" t="str">
        <x:v>雷电扩散</x:v>
      </x:c>
      <x:c r="C28" s="83" t="str">
        <x:v>SSR</x:v>
      </x:c>
      <x:c r="D28" s="83" t="str">
        <x:v>雷电扩散LV9</x:v>
      </x:c>
      <x:c r="E28" s="84" t="n">
        <x:v>5008101</x:v>
      </x:c>
      <x:c r="F28" s="84" t="n">
        <x:f>E28-E27</x:f>
        <x:v>1000000</x:v>
      </x:c>
      <x:c r="G28" s="84" t="n">
        <x:v>350000</x:v>
      </x:c>
      <x:c r="H28" s="84" t="n">
        <x:v>700000</x:v>
      </x:c>
      <x:c r="I28" s="84" t="n">
        <x:v>0</x:v>
      </x:c>
      <x:c r="J28" s="84" t="n">
        <x:f>J27+G28</x:f>
        <x:v>1589770</x:v>
      </x:c>
      <x:c r="K28" s="84" t="n">
        <x:f>K27+H28</x:f>
        <x:v>3530900</x:v>
      </x:c>
      <x:c r="L28" s="85" t="str">
        <x:v>闪电打击Lv5：弹射7个；每次衰减10%
闪电魔塔Lv5：击杀生成雷电风暴区域，每1秒落雷
雷电扩散Lv1：落雷30%几率扩散，对200码范围造成该次伤害200%</x:v>
      </x:c>
      <x:c r="M28" s="85" t="str">
        <x:v>雷电路线</x:v>
      </x:c>
      <x:c r="N28" s="85" t="str"/>
    </x:row>
    <x:row r="29">
      <x:c r="A29" s="83" t="n">
        <x:v>25</x:v>
      </x:c>
      <x:c r="B29" s="83" t="str">
        <x:v>雷电扩散</x:v>
      </x:c>
      <x:c r="C29" s="83" t="str">
        <x:v>SSR</x:v>
      </x:c>
      <x:c r="D29" s="83" t="str">
        <x:v>雷电扩散LV10</x:v>
      </x:c>
      <x:c r="E29" s="84" t="n">
        <x:v>6008101</x:v>
      </x:c>
      <x:c r="F29" s="84" t="n">
        <x:f>E29-E28</x:f>
        <x:v>1000000</x:v>
      </x:c>
      <x:c r="G29" s="84" t="n">
        <x:v>400000</x:v>
      </x:c>
      <x:c r="H29" s="84" t="n">
        <x:v>800000</x:v>
      </x:c>
      <x:c r="I29" s="84" t="n">
        <x:v>0</x:v>
      </x:c>
      <x:c r="J29" s="84" t="n">
        <x:f>J28+G29</x:f>
        <x:v>1989770</x:v>
      </x:c>
      <x:c r="K29" s="84" t="n">
        <x:f>K28+H29</x:f>
        <x:v>4330900</x:v>
      </x:c>
      <x:c r="L29" s="85" t="str">
        <x:v>闪电打击Lv5：弹射7个；每次衰减10%
闪电魔塔Lv5：击杀生成雷电风暴区域，每1秒落雷
雷电扩散Lv1：落雷30%几率扩散，对200码范围造成该次伤害200%</x:v>
      </x:c>
      <x:c r="M29" s="85" t="str">
        <x:v>雷电路线</x:v>
      </x:c>
      <x:c r="N29" s="85" t="str"/>
    </x:row>
    <x:row r="31" ht="32" customHeight="1">
      <x:c r="A31" s="93" t="str">
        <x:v>本路线累计成本（箭塔1-1 → 最终塔LV10）</x:v>
      </x:c>
      <x:c r="B31" s="93"/>
      <x:c r="C31" s="93"/>
      <x:c r="D31" s="93"/>
      <x:c r="E31" s="93"/>
      <x:c r="F31" s="93"/>
      <x:c r="G31" s="99" t="n">
        <x:f>SUM(G5:G29)</x:f>
        <x:v>1989770</x:v>
      </x:c>
      <x:c r="H31" s="99" t="n">
        <x:f>SUM(H5:H29)</x:f>
        <x:v>4330900</x:v>
      </x:c>
      <x:c r="I31" s="99" t="n">
        <x:f>SUM(I5:I29)</x:f>
        <x:v>4</x:v>
      </x:c>
      <x:c r="J31" s="93" t="str">
        <x:v>不含主城、前置建筑、工人和其他成长路线成本</x:v>
      </x:c>
      <x:c r="K31" s="93"/>
      <x:c r="L31" s="93"/>
      <x:c r="M31" s="93"/>
      <x:c r="N31" s="93"/>
    </x:row>
    <x:row r="34" ht="28" customHeight="1">
      <x:c r="A34" s="141"/>
      <x:c r="B34" s="141"/>
      <x:c r="C34" s="141"/>
      <x:c r="D34" s="141"/>
      <x:c r="E34" s="141"/>
      <x:c r="F34" s="141"/>
      <x:c r="G34" s="141"/>
    </x:row>
    <x:row r="35">
      <x:c r="A35" s="111"/>
      <x:c r="B35" s="111"/>
      <x:c r="C35" s="111"/>
      <x:c r="D35" s="111"/>
      <x:c r="E35" s="111"/>
      <x:c r="F35" s="111"/>
      <x:c r="G35" s="111"/>
    </x:row>
    <x:row r="36">
      <x:c r="A36" s="31"/>
      <x:c r="B36" s="31"/>
      <x:c r="C36" s="31"/>
      <x:c r="D36" s="31"/>
      <x:c r="E36" s="31"/>
      <x:c r="F36" s="31"/>
      <x:c r="G36" s="31"/>
    </x:row>
    <x:row r="37">
      <x:c r="A37" s="33"/>
      <x:c r="B37" s="33"/>
      <x:c r="C37" s="33"/>
      <x:c r="D37" s="33"/>
      <x:c r="E37" s="33"/>
      <x:c r="F37" s="33"/>
      <x:c r="G37" s="33"/>
    </x:row>
    <x:row r="38">
      <x:c r="A38" s="31"/>
      <x:c r="B38" s="31"/>
      <x:c r="C38" s="31"/>
      <x:c r="D38" s="31"/>
      <x:c r="E38" s="31"/>
      <x:c r="F38" s="31"/>
      <x:c r="G38" s="31"/>
    </x:row>
  </x:sheetData>
  <x:mergeCells>
    <x:mergeCell ref="A1:N1"/>
    <x:mergeCell ref="A2:N2"/>
    <x:mergeCell ref="A31:F31"/>
    <x:mergeCell ref="J31:N31"/>
    <x:mergeCell ref="A34:G34"/>
    <x:mergeCell ref="P4:V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25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6" hidden="0" customWidth="1"/>
    <x:col min="11" max="11" width="16" hidden="0" customWidth="1"/>
    <x:col min="12" max="12" width="58" hidden="0" customWidth="1"/>
    <x:col min="13" max="13" width="16" hidden="0" customWidth="1"/>
    <x:col min="14" max="14" width="38" hidden="0" customWidth="1"/>
    <x:col min="16" max="16" width="15" hidden="0" customWidth="1"/>
    <x:col min="17" max="17" width="20" hidden="0" customWidth="1"/>
    <x:col min="18" max="18" width="16" hidden="0" customWidth="1"/>
    <x:col min="19" max="19" width="18" hidden="0" customWidth="1"/>
    <x:col min="20" max="20" width="65" hidden="0" customWidth="1"/>
    <x:col min="21" max="21" width="40" hidden="0" customWidth="1"/>
    <x:col min="22" max="22" width="44" hidden="0" customWidth="1"/>
  </x:cols>
  <x:sheetData>
    <x:row r="1" ht="32" customHeight="1">
      <x:c r="A1" s="148" t="str">
        <x:v>箭塔 → 机枪塔 → 赏金机枪 → 爆矢加特林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</x:row>
    <x:row r="2" ht="42" customHeight="1">
      <x:c r="A2" s="55" t="str">
        <x:v>来源：bandicam 2026-07-19 13-06-14-620_20260719_14204603.mp4；时间范围：约255秒—335秒。攻击力为升级完成后的首个稳定显示值；忽略已知每秒+4攻击力成长。金币/木材/人口均按“升到本级”记录。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4" ht="30" customHeight="1">
      <x:c r="A4" s="20" t="str">
        <x:v>序号</x:v>
      </x:c>
      <x:c r="B4" s="20" t="str">
        <x:v>阶段</x:v>
      </x:c>
      <x:c r="C4" s="20" t="str">
        <x:v>稀有度</x:v>
      </x:c>
      <x:c r="D4" s="20" t="str">
        <x:v>等级/名称</x:v>
      </x:c>
      <x:c r="E4" s="20" t="str">
        <x:v>录像攻击力</x:v>
      </x:c>
      <x:c r="F4" s="20" t="str">
        <x:v>较上一级提升</x:v>
      </x:c>
      <x:c r="G4" s="20" t="str">
        <x:v>升到本级金币</x:v>
      </x:c>
      <x:c r="H4" s="20" t="str">
        <x:v>升到本级木材</x:v>
      </x:c>
      <x:c r="I4" s="20" t="str">
        <x:v>人口增量</x:v>
      </x:c>
      <x:c r="J4" s="20" t="str">
        <x:v>累计金币</x:v>
      </x:c>
      <x:c r="K4" s="20" t="str">
        <x:v>累计木材</x:v>
      </x:c>
      <x:c r="L4" s="20" t="str">
        <x:v>当前特殊技能</x:v>
      </x:c>
      <x:c r="M4" s="20" t="str">
        <x:v>录像来源</x:v>
      </x:c>
      <x:c r="N4" s="20" t="str">
        <x:v>备注</x:v>
      </x:c>
      <x:c r="P4" s="227" t="str">
        <x:v>特殊技能文本与成长规律</x:v>
      </x:c>
      <x:c r="Q4" s="227"/>
      <x:c r="R4" s="227"/>
      <x:c r="S4" s="227"/>
      <x:c r="T4" s="227"/>
      <x:c r="U4" s="227"/>
      <x:c r="V4" s="227"/>
    </x:row>
    <x:row r="5" ht="30" customHeight="1">
      <x:c r="A5" s="65" t="n">
        <x:v>1</x:v>
      </x:c>
      <x:c r="B5" s="65" t="str">
        <x:v>箭塔</x:v>
      </x:c>
      <x:c r="C5" s="65" t="str"/>
      <x:c r="D5" s="65" t="str">
        <x:v>箭塔1-1</x:v>
      </x:c>
      <x:c r="E5" s="66" t="n">
        <x:v>172</x:v>
      </x:c>
      <x:c r="F5" s="66" t="str">
        <x:v>—</x:v>
      </x:c>
      <x:c r="G5" s="66" t="n">
        <x:v>0</x:v>
      </x:c>
      <x:c r="H5" s="66" t="n">
        <x:v>50</x:v>
      </x:c>
      <x:c r="I5" s="66" t="n">
        <x:v>0</x:v>
      </x:c>
      <x:c r="J5" s="66" t="n">
        <x:f>G5</x:f>
        <x:v>0</x:v>
      </x:c>
      <x:c r="K5" s="66" t="n">
        <x:f>H5</x:f>
        <x:v>50</x:v>
      </x:c>
      <x:c r="L5" s="67" t="str">
        <x:v>无特殊技能展示</x:v>
      </x:c>
      <x:c r="M5" s="67" t="str">
        <x:v>赏金路线</x:v>
      </x:c>
      <x:c r="N5" s="67" t="str">
        <x:v>初建成本：木50</x:v>
      </x:c>
      <x:c r="P5" s="210" t="str">
        <x:v>阶段</x:v>
      </x:c>
      <x:c r="Q5" s="210" t="str">
        <x:v>技能名称</x:v>
      </x:c>
      <x:c r="R5" s="210" t="str">
        <x:v>文本来源</x:v>
      </x:c>
      <x:c r="S5" s="210" t="str">
        <x:v>等级/数值</x:v>
      </x:c>
      <x:c r="T5" s="210" t="str">
        <x:v>文本描述</x:v>
      </x:c>
      <x:c r="U5" s="210" t="str">
        <x:v>升级规律</x:v>
      </x:c>
      <x:c r="V5" s="210" t="str">
        <x:v>备注</x:v>
      </x:c>
    </x:row>
    <x:row r="6">
      <x:c r="A6" s="65" t="n">
        <x:v>2</x:v>
      </x:c>
      <x:c r="B6" s="65" t="str">
        <x:v>箭塔</x:v>
      </x:c>
      <x:c r="C6" s="65" t="str"/>
      <x:c r="D6" s="65" t="str">
        <x:v>箭塔1-2</x:v>
      </x:c>
      <x:c r="E6" s="66" t="n">
        <x:v>251</x:v>
      </x:c>
      <x:c r="F6" s="66" t="n">
        <x:f>E6-E5</x:f>
        <x:v>79</x:v>
      </x:c>
      <x:c r="G6" s="66" t="n">
        <x:v>0</x:v>
      </x:c>
      <x:c r="H6" s="66" t="n">
        <x:v>100</x:v>
      </x:c>
      <x:c r="I6" s="66" t="n">
        <x:v>0</x:v>
      </x:c>
      <x:c r="J6" s="66" t="n">
        <x:f>J5+G6</x:f>
        <x:v>0</x:v>
      </x:c>
      <x:c r="K6" s="66" t="n">
        <x:f>K5+H6</x:f>
        <x:v>150</x:v>
      </x:c>
      <x:c r="L6" s="67" t="str">
        <x:v>无特殊技能展示</x:v>
      </x:c>
      <x:c r="M6" s="67" t="str">
        <x:v>赏金路线</x:v>
      </x:c>
      <x:c r="N6" s="67" t="str">
        <x:v>箭塔1-1→1-2实录差值为+79</x:v>
      </x:c>
      <x:c r="P6" s="214" t="str">
        <x:v>N阶段</x:v>
      </x:c>
      <x:c r="Q6" s="214" t="str">
        <x:v>机枪</x:v>
      </x:c>
      <x:c r="R6" s="214" t="str">
        <x:v>实际技能</x:v>
      </x:c>
      <x:c r="S6" s="214" t="str">
        <x:v>Lv2→Lv5</x:v>
      </x:c>
      <x:c r="T6" s="214" t="str">
        <x:v>增加自身40%/60%/80%/100%攻击速度</x:v>
      </x:c>
      <x:c r="U6" s="214" t="str">
        <x:v>每次升级增加20%攻击速度</x:v>
      </x:c>
      <x:c r="V6" s="214" t="str">
        <x:v>机枪塔LV4达到Lv5，LV5保持</x:v>
      </x:c>
    </x:row>
    <x:row r="7">
      <x:c r="A7" s="65" t="n">
        <x:v>3</x:v>
      </x:c>
      <x:c r="B7" s="65" t="str">
        <x:v>箭塔</x:v>
      </x:c>
      <x:c r="C7" s="65" t="str"/>
      <x:c r="D7" s="65" t="str">
        <x:v>箭塔1-3</x:v>
      </x:c>
      <x:c r="E7" s="66" t="n">
        <x:v>301</x:v>
      </x:c>
      <x:c r="F7" s="66" t="n">
        <x:f>E7-E6</x:f>
        <x:v>50</x:v>
      </x:c>
      <x:c r="G7" s="66" t="n">
        <x:v>0</x:v>
      </x:c>
      <x:c r="H7" s="66" t="n">
        <x:v>200</x:v>
      </x:c>
      <x:c r="I7" s="66" t="n">
        <x:v>0</x:v>
      </x:c>
      <x:c r="J7" s="66" t="n">
        <x:f>J6+G7</x:f>
        <x:v>0</x:v>
      </x:c>
      <x:c r="K7" s="66" t="n">
        <x:f>K6+H7</x:f>
        <x:v>350</x:v>
      </x:c>
      <x:c r="L7" s="67" t="str">
        <x:v>无特殊技能展示</x:v>
      </x:c>
      <x:c r="M7" s="67" t="str">
        <x:v>赏金路线</x:v>
      </x:c>
      <x:c r="N7" s="67" t="str"/>
      <x:c r="P7" s="215" t="str">
        <x:v>R阶段</x:v>
      </x:c>
      <x:c r="Q7" s="215" t="str">
        <x:v>赏金机枪</x:v>
      </x:c>
      <x:c r="R7" s="215" t="str">
        <x:v>实际技能</x:v>
      </x:c>
      <x:c r="S7" s="215" t="str">
        <x:v>Lv2→Lv5</x:v>
      </x:c>
      <x:c r="T7" s="215" t="str">
        <x:v>攻击金币+5/+7/+9/+11</x:v>
      </x:c>
      <x:c r="U7" s="215" t="str">
        <x:v>按实际数值序列每次升级增加2点</x:v>
      </x:c>
      <x:c r="V7" s="215" t="str">
        <x:v>橙色成长文本较模糊，数值序列清晰</x:v>
      </x:c>
    </x:row>
    <x:row r="8">
      <x:c r="A8" s="65" t="n">
        <x:v>4</x:v>
      </x:c>
      <x:c r="B8" s="65" t="str">
        <x:v>箭塔</x:v>
      </x:c>
      <x:c r="C8" s="65" t="str"/>
      <x:c r="D8" s="65" t="str">
        <x:v>箭塔1-4</x:v>
      </x:c>
      <x:c r="E8" s="66" t="n">
        <x:v>401</x:v>
      </x:c>
      <x:c r="F8" s="66" t="n">
        <x:f>E8-E7</x:f>
        <x:v>100</x:v>
      </x:c>
      <x:c r="G8" s="66" t="n">
        <x:v>0</x:v>
      </x:c>
      <x:c r="H8" s="66" t="n">
        <x:v>250</x:v>
      </x:c>
      <x:c r="I8" s="66" t="n">
        <x:v>0</x:v>
      </x:c>
      <x:c r="J8" s="66" t="n">
        <x:f>J7+G8</x:f>
        <x:v>0</x:v>
      </x:c>
      <x:c r="K8" s="66" t="n">
        <x:f>K7+H8</x:f>
        <x:v>600</x:v>
      </x:c>
      <x:c r="L8" s="67" t="str">
        <x:v>无特殊技能展示</x:v>
      </x:c>
      <x:c r="M8" s="67" t="str">
        <x:v>赏金路线</x:v>
      </x:c>
      <x:c r="N8" s="67" t="str"/>
      <x:c r="P8" s="214" t="str">
        <x:v>最终阶段</x:v>
      </x:c>
      <x:c r="Q8" s="214" t="str">
        <x:v>爆矢加特林</x:v>
      </x:c>
      <x:c r="R8" s="214" t="str">
        <x:v>实际技能</x:v>
      </x:c>
      <x:c r="S8" s="214" t="str">
        <x:v>Lv1</x:v>
      </x:c>
      <x:c r="T8" s="214" t="str">
        <x:v>对同一目标攻击5次或者击杀任意单位后，攻速提升20%，持续3秒；不可叠加，可刷新时间</x:v>
      </x:c>
      <x:c r="U8" s="214" t="str">
        <x:v>爆矢加特林LV1至LV10保持不变</x:v>
      </x:c>
      <x:c r="V8" s="214" t="str">
        <x:v>录像直接确认</x:v>
      </x:c>
    </x:row>
    <x:row r="9">
      <x:c r="A9" s="65" t="n">
        <x:v>5</x:v>
      </x:c>
      <x:c r="B9" s="65" t="str">
        <x:v>箭塔</x:v>
      </x:c>
      <x:c r="C9" s="65" t="str"/>
      <x:c r="D9" s="65" t="str">
        <x:v>箭塔1-5</x:v>
      </x:c>
      <x:c r="E9" s="66" t="n">
        <x:v>501</x:v>
      </x:c>
      <x:c r="F9" s="66" t="n">
        <x:f>E9-E8</x:f>
        <x:v>100</x:v>
      </x:c>
      <x:c r="G9" s="66" t="n">
        <x:v>0</x:v>
      </x:c>
      <x:c r="H9" s="66" t="n">
        <x:v>300</x:v>
      </x:c>
      <x:c r="I9" s="66" t="n">
        <x:v>0</x:v>
      </x:c>
      <x:c r="J9" s="66" t="n">
        <x:f>J8+G9</x:f>
        <x:v>0</x:v>
      </x:c>
      <x:c r="K9" s="66" t="n">
        <x:f>K8+H9</x:f>
        <x:v>900</x:v>
      </x:c>
      <x:c r="L9" s="67" t="str">
        <x:v>无特殊技能展示</x:v>
      </x:c>
      <x:c r="M9" s="67" t="str">
        <x:v>赏金路线</x:v>
      </x:c>
      <x:c r="N9" s="67" t="str"/>
    </x:row>
    <x:row r="10">
      <x:c r="A10" s="71" t="n">
        <x:v>6</x:v>
      </x:c>
      <x:c r="B10" s="71" t="str">
        <x:v>机枪塔</x:v>
      </x:c>
      <x:c r="C10" s="71" t="str">
        <x:v>N</x:v>
      </x:c>
      <x:c r="D10" s="71" t="str">
        <x:v>机枪塔LV1</x:v>
      </x:c>
      <x:c r="E10" s="72" t="n">
        <x:v>901</x:v>
      </x:c>
      <x:c r="F10" s="72" t="n">
        <x:f>E10-E9</x:f>
        <x:v>400</x:v>
      </x:c>
      <x:c r="G10" s="72" t="n">
        <x:v>20</x:v>
      </x:c>
      <x:c r="H10" s="72" t="n">
        <x:v>1000</x:v>
      </x:c>
      <x:c r="I10" s="72" t="n">
        <x:v>1</x:v>
      </x:c>
      <x:c r="J10" s="72" t="n">
        <x:f>J9+G10</x:f>
        <x:v>20</x:v>
      </x:c>
      <x:c r="K10" s="72" t="n">
        <x:f>K9+H10</x:f>
        <x:v>1900</x:v>
      </x:c>
      <x:c r="L10" s="73" t="str">
        <x:v>机枪Lv2：攻击速度+40%</x:v>
      </x:c>
      <x:c r="M10" s="73" t="str">
        <x:v>赏金路线</x:v>
      </x:c>
      <x:c r="N10" s="73" t="str">
        <x:v>N阶段转职；人口+1</x:v>
      </x:c>
    </x:row>
    <x:row r="11">
      <x:c r="A11" s="71" t="n">
        <x:v>7</x:v>
      </x:c>
      <x:c r="B11" s="71" t="str">
        <x:v>机枪塔</x:v>
      </x:c>
      <x:c r="C11" s="71" t="str">
        <x:v>N</x:v>
      </x:c>
      <x:c r="D11" s="71" t="str">
        <x:v>机枪塔LV2</x:v>
      </x:c>
      <x:c r="E11" s="72" t="n">
        <x:v>1501</x:v>
      </x:c>
      <x:c r="F11" s="72" t="n">
        <x:f>E11-E10</x:f>
        <x:v>600</x:v>
      </x:c>
      <x:c r="G11" s="72" t="n">
        <x:v>50</x:v>
      </x:c>
      <x:c r="H11" s="72" t="n">
        <x:v>1500</x:v>
      </x:c>
      <x:c r="I11" s="72" t="n">
        <x:v>0</x:v>
      </x:c>
      <x:c r="J11" s="72" t="n">
        <x:f>J10+G11</x:f>
        <x:v>70</x:v>
      </x:c>
      <x:c r="K11" s="72" t="n">
        <x:f>K10+H11</x:f>
        <x:v>3400</x:v>
      </x:c>
      <x:c r="L11" s="73" t="str">
        <x:v>机枪Lv3：攻击速度+60%</x:v>
      </x:c>
      <x:c r="M11" s="73" t="str">
        <x:v>赏金路线</x:v>
      </x:c>
      <x:c r="N11" s="73" t="str"/>
    </x:row>
    <x:row r="12">
      <x:c r="A12" s="71" t="n">
        <x:v>8</x:v>
      </x:c>
      <x:c r="B12" s="71" t="str">
        <x:v>机枪塔</x:v>
      </x:c>
      <x:c r="C12" s="71" t="str">
        <x:v>N</x:v>
      </x:c>
      <x:c r="D12" s="71" t="str">
        <x:v>机枪塔LV3</x:v>
      </x:c>
      <x:c r="E12" s="72" t="n">
        <x:v>2101</x:v>
      </x:c>
      <x:c r="F12" s="72" t="n">
        <x:f>E12-E11</x:f>
        <x:v>600</x:v>
      </x:c>
      <x:c r="G12" s="72" t="n">
        <x:v>200</x:v>
      </x:c>
      <x:c r="H12" s="72" t="n">
        <x:v>2000</x:v>
      </x:c>
      <x:c r="I12" s="72" t="n">
        <x:v>0</x:v>
      </x:c>
      <x:c r="J12" s="72" t="n">
        <x:f>J11+G12</x:f>
        <x:v>270</x:v>
      </x:c>
      <x:c r="K12" s="72" t="n">
        <x:f>K11+H12</x:f>
        <x:v>5400</x:v>
      </x:c>
      <x:c r="L12" s="73" t="str">
        <x:v>机枪Lv4：攻击速度+80%</x:v>
      </x:c>
      <x:c r="M12" s="73" t="str">
        <x:v>赏金路线</x:v>
      </x:c>
      <x:c r="N12" s="73" t="str"/>
    </x:row>
    <x:row r="13">
      <x:c r="A13" s="71" t="n">
        <x:v>9</x:v>
      </x:c>
      <x:c r="B13" s="71" t="str">
        <x:v>机枪塔</x:v>
      </x:c>
      <x:c r="C13" s="71" t="str">
        <x:v>N</x:v>
      </x:c>
      <x:c r="D13" s="71" t="str">
        <x:v>机枪塔LV4</x:v>
      </x:c>
      <x:c r="E13" s="72" t="n">
        <x:v>3901</x:v>
      </x:c>
      <x:c r="F13" s="72" t="n">
        <x:f>E13-E12</x:f>
        <x:v>1800</x:v>
      </x:c>
      <x:c r="G13" s="72" t="n">
        <x:v>500</x:v>
      </x:c>
      <x:c r="H13" s="72" t="n">
        <x:v>2500</x:v>
      </x:c>
      <x:c r="I13" s="72" t="n">
        <x:v>0</x:v>
      </x:c>
      <x:c r="J13" s="72" t="n">
        <x:f>J12+G13</x:f>
        <x:v>770</x:v>
      </x:c>
      <x:c r="K13" s="72" t="n">
        <x:f>K12+H13</x:f>
        <x:v>7900</x:v>
      </x:c>
      <x:c r="L13" s="73" t="str">
        <x:v>机枪Lv5：攻击速度+100%</x:v>
      </x:c>
      <x:c r="M13" s="73" t="str">
        <x:v>赏金路线</x:v>
      </x:c>
      <x:c r="N13" s="73" t="str"/>
    </x:row>
    <x:row r="14">
      <x:c r="A14" s="71" t="n">
        <x:v>10</x:v>
      </x:c>
      <x:c r="B14" s="71" t="str">
        <x:v>机枪塔</x:v>
      </x:c>
      <x:c r="C14" s="71" t="str">
        <x:v>N</x:v>
      </x:c>
      <x:c r="D14" s="71" t="str">
        <x:v>机枪塔LV5</x:v>
      </x:c>
      <x:c r="E14" s="72" t="n">
        <x:v>6101</x:v>
      </x:c>
      <x:c r="F14" s="72" t="n">
        <x:f>E14-E13</x:f>
        <x:v>2200</x:v>
      </x:c>
      <x:c r="G14" s="72" t="n">
        <x:v>1000</x:v>
      </x:c>
      <x:c r="H14" s="72" t="n">
        <x:v>3000</x:v>
      </x:c>
      <x:c r="I14" s="72" t="n">
        <x:v>0</x:v>
      </x:c>
      <x:c r="J14" s="72" t="n">
        <x:f>J13+G14</x:f>
        <x:v>1770</x:v>
      </x:c>
      <x:c r="K14" s="72" t="n">
        <x:f>K13+H14</x:f>
        <x:v>10900</x:v>
      </x:c>
      <x:c r="L14" s="73" t="str">
        <x:v>机枪Lv5：攻击速度+100%</x:v>
      </x:c>
      <x:c r="M14" s="73" t="str">
        <x:v>赏金路线</x:v>
      </x:c>
      <x:c r="N14" s="73" t="str"/>
    </x:row>
    <x:row r="15">
      <x:c r="A15" s="77" t="n">
        <x:v>11</x:v>
      </x:c>
      <x:c r="B15" s="77" t="str">
        <x:v>赏金机枪</x:v>
      </x:c>
      <x:c r="C15" s="77" t="str">
        <x:v>R</x:v>
      </x:c>
      <x:c r="D15" s="77" t="str">
        <x:v>赏金机枪LV1</x:v>
      </x:c>
      <x:c r="E15" s="78" t="n">
        <x:v>12101</x:v>
      </x:c>
      <x:c r="F15" s="78" t="n">
        <x:f>E15-E14</x:f>
        <x:v>6000</x:v>
      </x:c>
      <x:c r="G15" s="78" t="n">
        <x:v>1000</x:v>
      </x:c>
      <x:c r="H15" s="78" t="n">
        <x:v>20000</x:v>
      </x:c>
      <x:c r="I15" s="78" t="n">
        <x:v>1</x:v>
      </x:c>
      <x:c r="J15" s="78" t="n">
        <x:f>J14+G15</x:f>
        <x:v>2770</x:v>
      </x:c>
      <x:c r="K15" s="78" t="n">
        <x:f>K14+H15</x:f>
        <x:v>30900</x:v>
      </x:c>
      <x:c r="L15" s="79" t="str">
        <x:v>机枪Lv5：攻速+100%
赏金机枪Lv2：每次攻击金币+5</x:v>
      </x:c>
      <x:c r="M15" s="79" t="str">
        <x:v>赏金路线</x:v>
      </x:c>
      <x:c r="N15" s="79" t="str">
        <x:v>R阶段转职；人口+1</x:v>
      </x:c>
    </x:row>
    <x:row r="16">
      <x:c r="A16" s="77" t="n">
        <x:v>12</x:v>
      </x:c>
      <x:c r="B16" s="77" t="str">
        <x:v>赏金机枪</x:v>
      </x:c>
      <x:c r="C16" s="77" t="str">
        <x:v>R</x:v>
      </x:c>
      <x:c r="D16" s="77" t="str">
        <x:v>赏金机枪LV2</x:v>
      </x:c>
      <x:c r="E16" s="78" t="n">
        <x:v>35101</x:v>
      </x:c>
      <x:c r="F16" s="78" t="n">
        <x:f>E16-E15</x:f>
        <x:v>23000</x:v>
      </x:c>
      <x:c r="G16" s="78" t="n">
        <x:v>2000</x:v>
      </x:c>
      <x:c r="H16" s="78" t="n">
        <x:v>40000</x:v>
      </x:c>
      <x:c r="I16" s="78" t="n">
        <x:v>0</x:v>
      </x:c>
      <x:c r="J16" s="78" t="n">
        <x:f>J15+G16</x:f>
        <x:v>4770</x:v>
      </x:c>
      <x:c r="K16" s="78" t="n">
        <x:f>K15+H16</x:f>
        <x:v>70900</x:v>
      </x:c>
      <x:c r="L16" s="79" t="str">
        <x:v>机枪Lv5：攻速+100%
赏金机枪Lv3：每次攻击金币+7</x:v>
      </x:c>
      <x:c r="M16" s="79" t="str">
        <x:v>赏金路线</x:v>
      </x:c>
      <x:c r="N16" s="79" t="str"/>
    </x:row>
    <x:row r="17">
      <x:c r="A17" s="77" t="n">
        <x:v>13</x:v>
      </x:c>
      <x:c r="B17" s="77" t="str">
        <x:v>赏金机枪</x:v>
      </x:c>
      <x:c r="C17" s="77" t="str">
        <x:v>R</x:v>
      </x:c>
      <x:c r="D17" s="77" t="str">
        <x:v>赏金机枪LV3</x:v>
      </x:c>
      <x:c r="E17" s="78" t="n">
        <x:v>50101</x:v>
      </x:c>
      <x:c r="F17" s="78" t="n">
        <x:f>E17-E16</x:f>
        <x:v>15000</x:v>
      </x:c>
      <x:c r="G17" s="78" t="n">
        <x:v>5000</x:v>
      </x:c>
      <x:c r="H17" s="78" t="n">
        <x:v>60000</x:v>
      </x:c>
      <x:c r="I17" s="78" t="n">
        <x:v>0</x:v>
      </x:c>
      <x:c r="J17" s="78" t="n">
        <x:f>J16+G17</x:f>
        <x:v>9770</x:v>
      </x:c>
      <x:c r="K17" s="78" t="n">
        <x:f>K16+H17</x:f>
        <x:v>130900</x:v>
      </x:c>
      <x:c r="L17" s="79" t="str">
        <x:v>机枪Lv5：攻速+100%
赏金机枪Lv4：每次攻击金币+9</x:v>
      </x:c>
      <x:c r="M17" s="79" t="str">
        <x:v>赏金路线</x:v>
      </x:c>
      <x:c r="N17" s="79" t="str"/>
    </x:row>
    <x:row r="18">
      <x:c r="A18" s="77" t="n">
        <x:v>14</x:v>
      </x:c>
      <x:c r="B18" s="77" t="str">
        <x:v>赏金机枪</x:v>
      </x:c>
      <x:c r="C18" s="77" t="str">
        <x:v>R</x:v>
      </x:c>
      <x:c r="D18" s="77" t="str">
        <x:v>赏金机枪LV4</x:v>
      </x:c>
      <x:c r="E18" s="78" t="n">
        <x:v>75101</x:v>
      </x:c>
      <x:c r="F18" s="78" t="n">
        <x:f>E18-E17</x:f>
        <x:v>25000</x:v>
      </x:c>
      <x:c r="G18" s="78" t="n">
        <x:v>10000</x:v>
      </x:c>
      <x:c r="H18" s="78" t="n">
        <x:v>100000</x:v>
      </x:c>
      <x:c r="I18" s="78" t="n">
        <x:v>0</x:v>
      </x:c>
      <x:c r="J18" s="78" t="n">
        <x:f>J17+G18</x:f>
        <x:v>19770</x:v>
      </x:c>
      <x:c r="K18" s="78" t="n">
        <x:f>K17+H18</x:f>
        <x:v>230900</x:v>
      </x:c>
      <x:c r="L18" s="79" t="str">
        <x:v>机枪Lv5：攻速+100%
赏金机枪Lv5：每次攻击金币+11</x:v>
      </x:c>
      <x:c r="M18" s="79" t="str">
        <x:v>赏金路线</x:v>
      </x:c>
      <x:c r="N18" s="79" t="str"/>
    </x:row>
    <x:row r="19">
      <x:c r="A19" s="77" t="n">
        <x:v>15</x:v>
      </x:c>
      <x:c r="B19" s="77" t="str">
        <x:v>赏金机枪</x:v>
      </x:c>
      <x:c r="C19" s="77" t="str">
        <x:v>R</x:v>
      </x:c>
      <x:c r="D19" s="77" t="str">
        <x:v>赏金机枪LV5</x:v>
      </x:c>
      <x:c r="E19" s="78" t="n">
        <x:v>108101</x:v>
      </x:c>
      <x:c r="F19" s="78" t="n">
        <x:f>E19-E18</x:f>
        <x:v>33000</x:v>
      </x:c>
      <x:c r="G19" s="78" t="n">
        <x:v>20000</x:v>
      </x:c>
      <x:c r="H19" s="78" t="n">
        <x:v>100000</x:v>
      </x:c>
      <x:c r="I19" s="78" t="n">
        <x:v>0</x:v>
      </x:c>
      <x:c r="J19" s="78" t="n">
        <x:f>J18+G19</x:f>
        <x:v>39770</x:v>
      </x:c>
      <x:c r="K19" s="78" t="n">
        <x:f>K18+H19</x:f>
        <x:v>330900</x:v>
      </x:c>
      <x:c r="L19" s="79" t="str">
        <x:v>机枪Lv5：攻速+100%
赏金机枪Lv5：每次攻击金币+11</x:v>
      </x:c>
      <x:c r="M19" s="79" t="str">
        <x:v>赏金路线</x:v>
      </x:c>
      <x:c r="N19" s="79" t="str"/>
    </x:row>
    <x:row r="20">
      <x:c r="A20" s="83" t="n">
        <x:v>16</x:v>
      </x:c>
      <x:c r="B20" s="83" t="str">
        <x:v>爆矢加特林</x:v>
      </x:c>
      <x:c r="C20" s="83" t="str">
        <x:v>SR</x:v>
      </x:c>
      <x:c r="D20" s="83" t="str">
        <x:v>爆矢加特林LV1</x:v>
      </x:c>
      <x:c r="E20" s="84" t="n">
        <x:v>308101</x:v>
      </x:c>
      <x:c r="F20" s="84" t="n">
        <x:f>E20-E19</x:f>
        <x:v>200000</x:v>
      </x:c>
      <x:c r="G20" s="84" t="n">
        <x:v>30000</x:v>
      </x:c>
      <x:c r="H20" s="84" t="n">
        <x:v>200000</x:v>
      </x:c>
      <x:c r="I20" s="84" t="n">
        <x:v>2</x:v>
      </x:c>
      <x:c r="J20" s="84" t="n">
        <x:f>J19+G20</x:f>
        <x:v>69770</x:v>
      </x:c>
      <x:c r="K20" s="84" t="n">
        <x:f>K19+H20</x:f>
        <x:v>530900</x:v>
      </x:c>
      <x:c r="L20" s="85" t="str">
        <x:v>机枪Lv5：攻击速度+100%
赏金机枪Lv5：每次攻击金币+11
爆矢加特林Lv1：同一目标攻击5次或击杀单位后，攻速+20%持续3秒；不可叠加，可刷新</x:v>
      </x:c>
      <x:c r="M20" s="85" t="str">
        <x:v>赏金路线</x:v>
      </x:c>
      <x:c r="N20" s="85" t="str">
        <x:v>SR阶段转职；人口+2</x:v>
      </x:c>
    </x:row>
    <x:row r="21">
      <x:c r="A21" s="83" t="n">
        <x:v>17</x:v>
      </x:c>
      <x:c r="B21" s="83" t="str">
        <x:v>爆矢加特林</x:v>
      </x:c>
      <x:c r="C21" s="83" t="str">
        <x:v>SR</x:v>
      </x:c>
      <x:c r="D21" s="83" t="str">
        <x:v>爆矢加特林LV2</x:v>
      </x:c>
      <x:c r="E21" s="84" t="n">
        <x:v>508101</x:v>
      </x:c>
      <x:c r="F21" s="84" t="n">
        <x:f>E21-E20</x:f>
        <x:v>200000</x:v>
      </x:c>
      <x:c r="G21" s="84" t="n">
        <x:v>60000</x:v>
      </x:c>
      <x:c r="H21" s="84" t="n">
        <x:v>200000</x:v>
      </x:c>
      <x:c r="I21" s="84" t="n">
        <x:v>0</x:v>
      </x:c>
      <x:c r="J21" s="84" t="n">
        <x:f>J20+G21</x:f>
        <x:v>129770</x:v>
      </x:c>
      <x:c r="K21" s="84" t="n">
        <x:f>K20+H21</x:f>
        <x:v>730900</x:v>
      </x:c>
      <x:c r="L21" s="85" t="str">
        <x:v>机枪Lv5：攻击速度+100%
赏金机枪Lv5：每次攻击金币+11
爆矢加特林Lv1：同一目标攻击5次或击杀单位后，攻速+20%持续3秒；不可叠加，可刷新</x:v>
      </x:c>
      <x:c r="M21" s="85" t="str">
        <x:v>赏金路线</x:v>
      </x:c>
      <x:c r="N21" s="85" t="str"/>
    </x:row>
    <x:row r="22">
      <x:c r="A22" s="83" t="n">
        <x:v>18</x:v>
      </x:c>
      <x:c r="B22" s="83" t="str">
        <x:v>爆矢加特林</x:v>
      </x:c>
      <x:c r="C22" s="83" t="str">
        <x:v>SR</x:v>
      </x:c>
      <x:c r="D22" s="83" t="str">
        <x:v>爆矢加特林LV3</x:v>
      </x:c>
      <x:c r="E22" s="84" t="n">
        <x:v>808101</x:v>
      </x:c>
      <x:c r="F22" s="84" t="n">
        <x:f>E22-E21</x:f>
        <x:v>300000</x:v>
      </x:c>
      <x:c r="G22" s="84" t="n">
        <x:v>90000</x:v>
      </x:c>
      <x:c r="H22" s="84" t="n">
        <x:v>200000</x:v>
      </x:c>
      <x:c r="I22" s="84" t="n">
        <x:v>0</x:v>
      </x:c>
      <x:c r="J22" s="84" t="n">
        <x:f>J21+G22</x:f>
        <x:v>219770</x:v>
      </x:c>
      <x:c r="K22" s="84" t="n">
        <x:f>K21+H22</x:f>
        <x:v>930900</x:v>
      </x:c>
      <x:c r="L22" s="85" t="str">
        <x:v>机枪Lv5：攻击速度+100%
赏金机枪Lv5：每次攻击金币+11
爆矢加特林Lv1：同一目标攻击5次或击杀单位后，攻速+20%持续3秒；不可叠加，可刷新</x:v>
      </x:c>
      <x:c r="M22" s="85" t="str">
        <x:v>赏金路线</x:v>
      </x:c>
      <x:c r="N22" s="85" t="str"/>
    </x:row>
    <x:row r="23">
      <x:c r="A23" s="83" t="n">
        <x:v>19</x:v>
      </x:c>
      <x:c r="B23" s="83" t="str">
        <x:v>爆矢加特林</x:v>
      </x:c>
      <x:c r="C23" s="83" t="str">
        <x:v>SR</x:v>
      </x:c>
      <x:c r="D23" s="83" t="str">
        <x:v>爆矢加特林LV4</x:v>
      </x:c>
      <x:c r="E23" s="84" t="n">
        <x:v>1008101</x:v>
      </x:c>
      <x:c r="F23" s="84" t="n">
        <x:f>E23-E22</x:f>
        <x:v>200000</x:v>
      </x:c>
      <x:c r="G23" s="84" t="n">
        <x:v>120000</x:v>
      </x:c>
      <x:c r="H23" s="84" t="n">
        <x:v>200000</x:v>
      </x:c>
      <x:c r="I23" s="84" t="n">
        <x:v>0</x:v>
      </x:c>
      <x:c r="J23" s="84" t="n">
        <x:f>J22+G23</x:f>
        <x:v>339770</x:v>
      </x:c>
      <x:c r="K23" s="84" t="n">
        <x:f>K22+H23</x:f>
        <x:v>1130900</x:v>
      </x:c>
      <x:c r="L23" s="85" t="str">
        <x:v>机枪Lv5：攻击速度+100%
赏金机枪Lv5：每次攻击金币+11
爆矢加特林Lv1：同一目标攻击5次或击杀单位后，攻速+20%持续3秒；不可叠加，可刷新</x:v>
      </x:c>
      <x:c r="M23" s="85" t="str">
        <x:v>赏金路线</x:v>
      </x:c>
      <x:c r="N23" s="85" t="str"/>
    </x:row>
    <x:row r="24">
      <x:c r="A24" s="83" t="n">
        <x:v>20</x:v>
      </x:c>
      <x:c r="B24" s="83" t="str">
        <x:v>爆矢加特林</x:v>
      </x:c>
      <x:c r="C24" s="83" t="str">
        <x:v>SR</x:v>
      </x:c>
      <x:c r="D24" s="83" t="str">
        <x:v>爆矢加特林LV5</x:v>
      </x:c>
      <x:c r="E24" s="84" t="n">
        <x:v>1508101</x:v>
      </x:c>
      <x:c r="F24" s="84" t="n">
        <x:f>E24-E23</x:f>
        <x:v>500000</x:v>
      </x:c>
      <x:c r="G24" s="84" t="n">
        <x:v>150000</x:v>
      </x:c>
      <x:c r="H24" s="84" t="n">
        <x:v>200000</x:v>
      </x:c>
      <x:c r="I24" s="84" t="n">
        <x:v>0</x:v>
      </x:c>
      <x:c r="J24" s="84" t="n">
        <x:f>J23+G24</x:f>
        <x:v>489770</x:v>
      </x:c>
      <x:c r="K24" s="84" t="n">
        <x:f>K23+H24</x:f>
        <x:v>1330900</x:v>
      </x:c>
      <x:c r="L24" s="85" t="str">
        <x:v>机枪Lv5：攻击速度+100%
赏金机枪Lv5：每次攻击金币+11
爆矢加特林Lv1：同一目标攻击5次或击杀单位后，攻速+20%持续3秒；不可叠加，可刷新</x:v>
      </x:c>
      <x:c r="M24" s="85" t="str">
        <x:v>赏金路线</x:v>
      </x:c>
      <x:c r="N24" s="85" t="str"/>
    </x:row>
    <x:row r="25">
      <x:c r="A25" s="83" t="n">
        <x:v>21</x:v>
      </x:c>
      <x:c r="B25" s="83" t="str">
        <x:v>爆矢加特林</x:v>
      </x:c>
      <x:c r="C25" s="83" t="str">
        <x:v>SSR</x:v>
      </x:c>
      <x:c r="D25" s="83" t="str">
        <x:v>爆矢加特林LV6</x:v>
      </x:c>
      <x:c r="E25" s="84" t="n">
        <x:v>2008101</x:v>
      </x:c>
      <x:c r="F25" s="84" t="n">
        <x:f>E25-E24</x:f>
        <x:v>500000</x:v>
      </x:c>
      <x:c r="G25" s="84" t="n">
        <x:v>200000</x:v>
      </x:c>
      <x:c r="H25" s="84" t="n">
        <x:v>400000</x:v>
      </x:c>
      <x:c r="I25" s="84" t="n">
        <x:v>0</x:v>
      </x:c>
      <x:c r="J25" s="84" t="n">
        <x:f>J24+G25</x:f>
        <x:v>689770</x:v>
      </x:c>
      <x:c r="K25" s="84" t="n">
        <x:f>K24+H25</x:f>
        <x:v>1730900</x:v>
      </x:c>
      <x:c r="L25" s="85" t="str">
        <x:v>机枪Lv5：攻击速度+100%
赏金机枪Lv5：每次攻击金币+11
爆矢加特林Lv1：同一目标攻击5次或击杀单位后，攻速+20%持续3秒；不可叠加，可刷新</x:v>
      </x:c>
      <x:c r="M25" s="85" t="str">
        <x:v>赏金路线</x:v>
      </x:c>
      <x:c r="N25" s="85" t="str">
        <x:v>最终塔LV6开始稀有度前缀变为SSR</x:v>
      </x:c>
    </x:row>
    <x:row r="26">
      <x:c r="A26" s="83" t="n">
        <x:v>22</x:v>
      </x:c>
      <x:c r="B26" s="83" t="str">
        <x:v>爆矢加特林</x:v>
      </x:c>
      <x:c r="C26" s="83" t="str">
        <x:v>SSR</x:v>
      </x:c>
      <x:c r="D26" s="83" t="str">
        <x:v>爆矢加特林LV7</x:v>
      </x:c>
      <x:c r="E26" s="84" t="n">
        <x:v>3008101</x:v>
      </x:c>
      <x:c r="F26" s="84" t="n">
        <x:f>E26-E25</x:f>
        <x:v>1000000</x:v>
      </x:c>
      <x:c r="G26" s="84" t="n">
        <x:v>250000</x:v>
      </x:c>
      <x:c r="H26" s="84" t="n">
        <x:v>500000</x:v>
      </x:c>
      <x:c r="I26" s="84" t="n">
        <x:v>0</x:v>
      </x:c>
      <x:c r="J26" s="84" t="n">
        <x:f>J25+G26</x:f>
        <x:v>939770</x:v>
      </x:c>
      <x:c r="K26" s="84" t="n">
        <x:f>K25+H26</x:f>
        <x:v>2230900</x:v>
      </x:c>
      <x:c r="L26" s="85" t="str">
        <x:v>机枪Lv5：攻击速度+100%
赏金机枪Lv5：每次攻击金币+11
爆矢加特林Lv1：同一目标攻击5次或击杀单位后，攻速+20%持续3秒；不可叠加，可刷新</x:v>
      </x:c>
      <x:c r="M26" s="85" t="str">
        <x:v>赏金路线</x:v>
      </x:c>
      <x:c r="N26" s="85" t="str"/>
    </x:row>
    <x:row r="27">
      <x:c r="A27" s="83" t="n">
        <x:v>23</x:v>
      </x:c>
      <x:c r="B27" s="83" t="str">
        <x:v>爆矢加特林</x:v>
      </x:c>
      <x:c r="C27" s="83" t="str">
        <x:v>SSR</x:v>
      </x:c>
      <x:c r="D27" s="83" t="str">
        <x:v>爆矢加特林LV8</x:v>
      </x:c>
      <x:c r="E27" s="84" t="n">
        <x:v>4008101</x:v>
      </x:c>
      <x:c r="F27" s="84" t="n">
        <x:f>E27-E26</x:f>
        <x:v>1000000</x:v>
      </x:c>
      <x:c r="G27" s="84" t="n">
        <x:v>300000</x:v>
      </x:c>
      <x:c r="H27" s="84" t="n">
        <x:v>600000</x:v>
      </x:c>
      <x:c r="I27" s="84" t="n">
        <x:v>0</x:v>
      </x:c>
      <x:c r="J27" s="84" t="n">
        <x:f>J26+G27</x:f>
        <x:v>1239770</x:v>
      </x:c>
      <x:c r="K27" s="84" t="n">
        <x:f>K26+H27</x:f>
        <x:v>2830900</x:v>
      </x:c>
      <x:c r="L27" s="85" t="str">
        <x:v>机枪Lv5：攻击速度+100%
赏金机枪Lv5：每次攻击金币+11
爆矢加特林Lv1：同一目标攻击5次或击杀单位后，攻速+20%持续3秒；不可叠加，可刷新</x:v>
      </x:c>
      <x:c r="M27" s="85" t="str">
        <x:v>赏金路线</x:v>
      </x:c>
      <x:c r="N27" s="85" t="str"/>
    </x:row>
    <x:row r="28">
      <x:c r="A28" s="83" t="n">
        <x:v>24</x:v>
      </x:c>
      <x:c r="B28" s="83" t="str">
        <x:v>爆矢加特林</x:v>
      </x:c>
      <x:c r="C28" s="83" t="str">
        <x:v>SSR</x:v>
      </x:c>
      <x:c r="D28" s="83" t="str">
        <x:v>爆矢加特林LV9</x:v>
      </x:c>
      <x:c r="E28" s="84" t="n">
        <x:v>5008101</x:v>
      </x:c>
      <x:c r="F28" s="84" t="n">
        <x:f>E28-E27</x:f>
        <x:v>1000000</x:v>
      </x:c>
      <x:c r="G28" s="84" t="n">
        <x:v>350000</x:v>
      </x:c>
      <x:c r="H28" s="84" t="n">
        <x:v>700000</x:v>
      </x:c>
      <x:c r="I28" s="84" t="n">
        <x:v>0</x:v>
      </x:c>
      <x:c r="J28" s="84" t="n">
        <x:f>J27+G28</x:f>
        <x:v>1589770</x:v>
      </x:c>
      <x:c r="K28" s="84" t="n">
        <x:f>K27+H28</x:f>
        <x:v>3530900</x:v>
      </x:c>
      <x:c r="L28" s="85" t="str">
        <x:v>机枪Lv5：攻击速度+100%
赏金机枪Lv5：每次攻击金币+11
爆矢加特林Lv1：同一目标攻击5次或击杀单位后，攻速+20%持续3秒；不可叠加，可刷新</x:v>
      </x:c>
      <x:c r="M28" s="85" t="str">
        <x:v>赏金路线</x:v>
      </x:c>
      <x:c r="N28" s="85" t="str"/>
    </x:row>
    <x:row r="29">
      <x:c r="A29" s="83" t="n">
        <x:v>25</x:v>
      </x:c>
      <x:c r="B29" s="83" t="str">
        <x:v>爆矢加特林</x:v>
      </x:c>
      <x:c r="C29" s="83" t="str">
        <x:v>SSR</x:v>
      </x:c>
      <x:c r="D29" s="83" t="str">
        <x:v>爆矢加特林LV10</x:v>
      </x:c>
      <x:c r="E29" s="84" t="n">
        <x:v>6008101</x:v>
      </x:c>
      <x:c r="F29" s="84" t="n">
        <x:f>E29-E28</x:f>
        <x:v>1000000</x:v>
      </x:c>
      <x:c r="G29" s="84" t="n">
        <x:v>400000</x:v>
      </x:c>
      <x:c r="H29" s="84" t="n">
        <x:v>800000</x:v>
      </x:c>
      <x:c r="I29" s="84" t="n">
        <x:v>0</x:v>
      </x:c>
      <x:c r="J29" s="84" t="n">
        <x:f>J28+G29</x:f>
        <x:v>1989770</x:v>
      </x:c>
      <x:c r="K29" s="84" t="n">
        <x:f>K28+H29</x:f>
        <x:v>4330900</x:v>
      </x:c>
      <x:c r="L29" s="85" t="str">
        <x:v>机枪Lv5：攻击速度+100%
赏金机枪Lv5：每次攻击金币+11
爆矢加特林Lv1：同一目标攻击5次或击杀单位后，攻速+20%持续3秒；不可叠加，可刷新</x:v>
      </x:c>
      <x:c r="M29" s="85" t="str">
        <x:v>赏金路线</x:v>
      </x:c>
      <x:c r="N29" s="85" t="str"/>
    </x:row>
    <x:row r="31" ht="32" customHeight="1">
      <x:c r="A31" s="93" t="str">
        <x:v>本路线累计成本（箭塔1-1 → 最终塔LV10）</x:v>
      </x:c>
      <x:c r="B31" s="93"/>
      <x:c r="C31" s="93"/>
      <x:c r="D31" s="93"/>
      <x:c r="E31" s="93"/>
      <x:c r="F31" s="93"/>
      <x:c r="G31" s="99" t="n">
        <x:f>SUM(G5:G29)</x:f>
        <x:v>1989770</x:v>
      </x:c>
      <x:c r="H31" s="99" t="n">
        <x:f>SUM(H5:H29)</x:f>
        <x:v>4330900</x:v>
      </x:c>
      <x:c r="I31" s="99" t="n">
        <x:f>SUM(I5:I29)</x:f>
        <x:v>4</x:v>
      </x:c>
      <x:c r="J31" s="93" t="str">
        <x:v>不含主城、前置建筑、工人和其他成长路线成本</x:v>
      </x:c>
      <x:c r="K31" s="93"/>
      <x:c r="L31" s="93"/>
      <x:c r="M31" s="93"/>
      <x:c r="N31" s="93"/>
    </x:row>
    <x:row r="34" ht="28" customHeight="1">
      <x:c r="A34" s="155"/>
      <x:c r="B34" s="155"/>
      <x:c r="C34" s="155"/>
      <x:c r="D34" s="155"/>
      <x:c r="E34" s="155"/>
      <x:c r="F34" s="155"/>
      <x:c r="G34" s="155"/>
    </x:row>
    <x:row r="35">
      <x:c r="A35" s="111"/>
      <x:c r="B35" s="111"/>
      <x:c r="C35" s="111"/>
      <x:c r="D35" s="111"/>
      <x:c r="E35" s="111"/>
      <x:c r="F35" s="111"/>
      <x:c r="G35" s="111"/>
    </x:row>
    <x:row r="36">
      <x:c r="A36" s="31"/>
      <x:c r="B36" s="31"/>
      <x:c r="C36" s="31"/>
      <x:c r="D36" s="31"/>
      <x:c r="E36" s="31"/>
      <x:c r="F36" s="31"/>
      <x:c r="G36" s="31"/>
    </x:row>
    <x:row r="37">
      <x:c r="A37" s="33"/>
      <x:c r="B37" s="33"/>
      <x:c r="C37" s="33"/>
      <x:c r="D37" s="33"/>
      <x:c r="E37" s="33"/>
      <x:c r="F37" s="33"/>
      <x:c r="G37" s="33"/>
    </x:row>
    <x:row r="38">
      <x:c r="A38" s="31"/>
      <x:c r="B38" s="31"/>
      <x:c r="C38" s="31"/>
      <x:c r="D38" s="31"/>
      <x:c r="E38" s="31"/>
      <x:c r="F38" s="31"/>
      <x:c r="G38" s="31"/>
    </x:row>
  </x:sheetData>
  <x:mergeCells>
    <x:mergeCell ref="A1:N1"/>
    <x:mergeCell ref="A2:N2"/>
    <x:mergeCell ref="A31:F31"/>
    <x:mergeCell ref="J31:N31"/>
    <x:mergeCell ref="A34:G34"/>
    <x:mergeCell ref="P4:V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25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6" hidden="0" customWidth="1"/>
    <x:col min="11" max="11" width="16" hidden="0" customWidth="1"/>
    <x:col min="12" max="12" width="58" hidden="0" customWidth="1"/>
    <x:col min="13" max="13" width="16" hidden="0" customWidth="1"/>
    <x:col min="14" max="14" width="38" hidden="0" customWidth="1"/>
    <x:col min="16" max="16" width="15" hidden="0" customWidth="1"/>
    <x:col min="17" max="17" width="20" hidden="0" customWidth="1"/>
    <x:col min="18" max="18" width="16" hidden="0" customWidth="1"/>
    <x:col min="19" max="19" width="18" hidden="0" customWidth="1"/>
    <x:col min="20" max="20" width="65" hidden="0" customWidth="1"/>
    <x:col min="21" max="21" width="40" hidden="0" customWidth="1"/>
    <x:col min="22" max="22" width="44" hidden="0" customWidth="1"/>
  </x:cols>
  <x:sheetData>
    <x:row r="1" ht="32" customHeight="1">
      <x:c r="A1" s="162" t="str">
        <x:v>箭塔 → 多重塔 → 穿透弩炮 → 炙热巨箭塔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</x:row>
    <x:row r="2" ht="42" customHeight="1">
      <x:c r="A2" s="55" t="str">
        <x:v>来源：bandicam 2026-07-19 13-06-14-620_20260719_14204603.mp4；时间范围：约336秒—411秒。攻击力为升级完成后的首个稳定显示值；忽略已知每秒+4攻击力成长。金币/木材/人口均按“升到本级”记录。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4" ht="30" customHeight="1">
      <x:c r="A4" s="20" t="str">
        <x:v>序号</x:v>
      </x:c>
      <x:c r="B4" s="20" t="str">
        <x:v>阶段</x:v>
      </x:c>
      <x:c r="C4" s="20" t="str">
        <x:v>稀有度</x:v>
      </x:c>
      <x:c r="D4" s="20" t="str">
        <x:v>等级/名称</x:v>
      </x:c>
      <x:c r="E4" s="20" t="str">
        <x:v>录像攻击力</x:v>
      </x:c>
      <x:c r="F4" s="20" t="str">
        <x:v>较上一级提升</x:v>
      </x:c>
      <x:c r="G4" s="20" t="str">
        <x:v>升到本级金币</x:v>
      </x:c>
      <x:c r="H4" s="20" t="str">
        <x:v>升到本级木材</x:v>
      </x:c>
      <x:c r="I4" s="20" t="str">
        <x:v>人口增量</x:v>
      </x:c>
      <x:c r="J4" s="20" t="str">
        <x:v>累计金币</x:v>
      </x:c>
      <x:c r="K4" s="20" t="str">
        <x:v>累计木材</x:v>
      </x:c>
      <x:c r="L4" s="20" t="str">
        <x:v>当前特殊技能</x:v>
      </x:c>
      <x:c r="M4" s="20" t="str">
        <x:v>录像来源</x:v>
      </x:c>
      <x:c r="N4" s="20" t="str">
        <x:v>备注</x:v>
      </x:c>
      <x:c r="P4" s="231" t="str">
        <x:v>特殊技能文本与成长规律</x:v>
      </x:c>
      <x:c r="Q4" s="231"/>
      <x:c r="R4" s="231"/>
      <x:c r="S4" s="231"/>
      <x:c r="T4" s="231"/>
      <x:c r="U4" s="231"/>
      <x:c r="V4" s="231"/>
    </x:row>
    <x:row r="5" ht="30" customHeight="1">
      <x:c r="A5" s="65" t="n">
        <x:v>1</x:v>
      </x:c>
      <x:c r="B5" s="65" t="str">
        <x:v>箭塔</x:v>
      </x:c>
      <x:c r="C5" s="65" t="str"/>
      <x:c r="D5" s="65" t="str">
        <x:v>箭塔1-1</x:v>
      </x:c>
      <x:c r="E5" s="66" t="n">
        <x:v>172</x:v>
      </x:c>
      <x:c r="F5" s="66" t="str">
        <x:v>—</x:v>
      </x:c>
      <x:c r="G5" s="66" t="n">
        <x:v>0</x:v>
      </x:c>
      <x:c r="H5" s="66" t="n">
        <x:v>50</x:v>
      </x:c>
      <x:c r="I5" s="66" t="n">
        <x:v>0</x:v>
      </x:c>
      <x:c r="J5" s="66" t="n">
        <x:f>G5</x:f>
        <x:v>0</x:v>
      </x:c>
      <x:c r="K5" s="66" t="n">
        <x:f>H5</x:f>
        <x:v>50</x:v>
      </x:c>
      <x:c r="L5" s="67" t="str">
        <x:v>无特殊技能展示</x:v>
      </x:c>
      <x:c r="M5" s="67" t="str">
        <x:v>多重路线</x:v>
      </x:c>
      <x:c r="N5" s="67" t="str">
        <x:v>初建成本：木50</x:v>
      </x:c>
      <x:c r="P5" s="210" t="str">
        <x:v>阶段</x:v>
      </x:c>
      <x:c r="Q5" s="210" t="str">
        <x:v>技能名称</x:v>
      </x:c>
      <x:c r="R5" s="210" t="str">
        <x:v>文本来源</x:v>
      </x:c>
      <x:c r="S5" s="210" t="str">
        <x:v>等级/数值</x:v>
      </x:c>
      <x:c r="T5" s="210" t="str">
        <x:v>文本描述</x:v>
      </x:c>
      <x:c r="U5" s="210" t="str">
        <x:v>升级规律</x:v>
      </x:c>
      <x:c r="V5" s="210" t="str">
        <x:v>备注</x:v>
      </x:c>
    </x:row>
    <x:row r="6">
      <x:c r="A6" s="65" t="n">
        <x:v>2</x:v>
      </x:c>
      <x:c r="B6" s="65" t="str">
        <x:v>箭塔</x:v>
      </x:c>
      <x:c r="C6" s="65" t="str"/>
      <x:c r="D6" s="65" t="str">
        <x:v>箭塔1-2</x:v>
      </x:c>
      <x:c r="E6" s="66" t="n">
        <x:v>251</x:v>
      </x:c>
      <x:c r="F6" s="66" t="n">
        <x:f>E6-E5</x:f>
        <x:v>79</x:v>
      </x:c>
      <x:c r="G6" s="66" t="n">
        <x:v>0</x:v>
      </x:c>
      <x:c r="H6" s="66" t="n">
        <x:v>100</x:v>
      </x:c>
      <x:c r="I6" s="66" t="n">
        <x:v>0</x:v>
      </x:c>
      <x:c r="J6" s="66" t="n">
        <x:f>J5+G6</x:f>
        <x:v>0</x:v>
      </x:c>
      <x:c r="K6" s="66" t="n">
        <x:f>K5+H6</x:f>
        <x:v>150</x:v>
      </x:c>
      <x:c r="L6" s="67" t="str">
        <x:v>无特殊技能展示</x:v>
      </x:c>
      <x:c r="M6" s="67" t="str">
        <x:v>多重路线</x:v>
      </x:c>
      <x:c r="N6" s="67" t="str">
        <x:v>箭塔1-1→1-2实录差值为+79</x:v>
      </x:c>
      <x:c r="P6" s="214" t="str">
        <x:v>N阶段</x:v>
      </x:c>
      <x:c r="Q6" s="214" t="str">
        <x:v>多重攻击</x:v>
      </x:c>
      <x:c r="R6" s="214" t="str">
        <x:v>实际技能</x:v>
      </x:c>
      <x:c r="S6" s="214" t="str">
        <x:v>Lv2→Lv5</x:v>
      </x:c>
      <x:c r="T6" s="214" t="str">
        <x:v>对地面单位4/5/6/7重射；对地面单位+30%伤害；对空中单位-50%伤害</x:v>
      </x:c>
      <x:c r="U6" s="214" t="str">
        <x:v>每次升级数量+1</x:v>
      </x:c>
      <x:c r="V6" s="214" t="str">
        <x:v>多重塔LV4达到Lv5，LV5保持</x:v>
      </x:c>
    </x:row>
    <x:row r="7">
      <x:c r="A7" s="65" t="n">
        <x:v>3</x:v>
      </x:c>
      <x:c r="B7" s="65" t="str">
        <x:v>箭塔</x:v>
      </x:c>
      <x:c r="C7" s="65" t="str"/>
      <x:c r="D7" s="65" t="str">
        <x:v>箭塔1-3</x:v>
      </x:c>
      <x:c r="E7" s="66" t="n">
        <x:v>301</x:v>
      </x:c>
      <x:c r="F7" s="66" t="n">
        <x:f>E7-E6</x:f>
        <x:v>50</x:v>
      </x:c>
      <x:c r="G7" s="66" t="n">
        <x:v>0</x:v>
      </x:c>
      <x:c r="H7" s="66" t="n">
        <x:v>200</x:v>
      </x:c>
      <x:c r="I7" s="66" t="n">
        <x:v>0</x:v>
      </x:c>
      <x:c r="J7" s="66" t="n">
        <x:f>J6+G7</x:f>
        <x:v>0</x:v>
      </x:c>
      <x:c r="K7" s="66" t="n">
        <x:f>K6+H7</x:f>
        <x:v>350</x:v>
      </x:c>
      <x:c r="L7" s="67" t="str">
        <x:v>无特殊技能展示</x:v>
      </x:c>
      <x:c r="M7" s="67" t="str">
        <x:v>多重路线</x:v>
      </x:c>
      <x:c r="N7" s="67" t="str"/>
      <x:c r="P7" s="215" t="str">
        <x:v>R阶段</x:v>
      </x:c>
      <x:c r="Q7" s="215" t="str">
        <x:v>穿透弩炮</x:v>
      </x:c>
      <x:c r="R7" s="215" t="str">
        <x:v>实际技能</x:v>
      </x:c>
      <x:c r="S7" s="215" t="str">
        <x:v>Lv2→Lv5</x:v>
      </x:c>
      <x:c r="T7" s="215" t="str">
        <x:v>攻击无视敌人15%/20%/25%/30%的护甲</x:v>
      </x:c>
      <x:c r="U7" s="215" t="str">
        <x:v>每次升级提高无视5%的护甲</x:v>
      </x:c>
      <x:c r="V7" s="215" t="str">
        <x:v>穿透弩炮LV4达到Lv5，LV5保持</x:v>
      </x:c>
    </x:row>
    <x:row r="8">
      <x:c r="A8" s="65" t="n">
        <x:v>4</x:v>
      </x:c>
      <x:c r="B8" s="65" t="str">
        <x:v>箭塔</x:v>
      </x:c>
      <x:c r="C8" s="65" t="str"/>
      <x:c r="D8" s="65" t="str">
        <x:v>箭塔1-4</x:v>
      </x:c>
      <x:c r="E8" s="66" t="n">
        <x:v>401</x:v>
      </x:c>
      <x:c r="F8" s="66" t="n">
        <x:f>E8-E7</x:f>
        <x:v>100</x:v>
      </x:c>
      <x:c r="G8" s="66" t="n">
        <x:v>0</x:v>
      </x:c>
      <x:c r="H8" s="66" t="n">
        <x:v>250</x:v>
      </x:c>
      <x:c r="I8" s="66" t="n">
        <x:v>0</x:v>
      </x:c>
      <x:c r="J8" s="66" t="n">
        <x:f>J7+G8</x:f>
        <x:v>0</x:v>
      </x:c>
      <x:c r="K8" s="66" t="n">
        <x:f>K7+H8</x:f>
        <x:v>600</x:v>
      </x:c>
      <x:c r="L8" s="67" t="str">
        <x:v>无特殊技能展示</x:v>
      </x:c>
      <x:c r="M8" s="67" t="str">
        <x:v>多重路线</x:v>
      </x:c>
      <x:c r="N8" s="67" t="str"/>
      <x:c r="P8" s="214" t="str">
        <x:v>最终阶段</x:v>
      </x:c>
      <x:c r="Q8" s="214" t="str">
        <x:v>炙热巨箭塔</x:v>
      </x:c>
      <x:c r="R8" s="214" t="str">
        <x:v>实际技能</x:v>
      </x:c>
      <x:c r="S8" s="214" t="str">
        <x:v>Lv1</x:v>
      </x:c>
      <x:c r="T8" s="214" t="str">
        <x:v>巨箭对路径上的敌人造成100%伤害</x:v>
      </x:c>
      <x:c r="U8" s="214" t="str">
        <x:v>炙热巨箭塔LV1至LV10保持不变</x:v>
      </x:c>
      <x:c r="V8" s="214" t="str">
        <x:v>录像直接确认</x:v>
      </x:c>
    </x:row>
    <x:row r="9">
      <x:c r="A9" s="65" t="n">
        <x:v>5</x:v>
      </x:c>
      <x:c r="B9" s="65" t="str">
        <x:v>箭塔</x:v>
      </x:c>
      <x:c r="C9" s="65" t="str"/>
      <x:c r="D9" s="65" t="str">
        <x:v>箭塔1-5</x:v>
      </x:c>
      <x:c r="E9" s="66" t="n">
        <x:v>501</x:v>
      </x:c>
      <x:c r="F9" s="66" t="n">
        <x:f>E9-E8</x:f>
        <x:v>100</x:v>
      </x:c>
      <x:c r="G9" s="66" t="n">
        <x:v>0</x:v>
      </x:c>
      <x:c r="H9" s="66" t="n">
        <x:v>300</x:v>
      </x:c>
      <x:c r="I9" s="66" t="n">
        <x:v>0</x:v>
      </x:c>
      <x:c r="J9" s="66" t="n">
        <x:f>J8+G9</x:f>
        <x:v>0</x:v>
      </x:c>
      <x:c r="K9" s="66" t="n">
        <x:f>K8+H9</x:f>
        <x:v>900</x:v>
      </x:c>
      <x:c r="L9" s="67" t="str">
        <x:v>无特殊技能展示</x:v>
      </x:c>
      <x:c r="M9" s="67" t="str">
        <x:v>多重路线</x:v>
      </x:c>
      <x:c r="N9" s="67" t="str"/>
    </x:row>
    <x:row r="10">
      <x:c r="A10" s="71" t="n">
        <x:v>6</x:v>
      </x:c>
      <x:c r="B10" s="71" t="str">
        <x:v>多重塔</x:v>
      </x:c>
      <x:c r="C10" s="71" t="str">
        <x:v>N</x:v>
      </x:c>
      <x:c r="D10" s="71" t="str">
        <x:v>多重塔LV1</x:v>
      </x:c>
      <x:c r="E10" s="72" t="n">
        <x:v>901</x:v>
      </x:c>
      <x:c r="F10" s="72" t="n">
        <x:f>E10-E9</x:f>
        <x:v>400</x:v>
      </x:c>
      <x:c r="G10" s="72" t="n">
        <x:v>20</x:v>
      </x:c>
      <x:c r="H10" s="72" t="n">
        <x:v>1000</x:v>
      </x:c>
      <x:c r="I10" s="72" t="n">
        <x:v>1</x:v>
      </x:c>
      <x:c r="J10" s="72" t="n">
        <x:f>J9+G10</x:f>
        <x:v>20</x:v>
      </x:c>
      <x:c r="K10" s="72" t="n">
        <x:f>K9+H10</x:f>
        <x:v>1900</x:v>
      </x:c>
      <x:c r="L10" s="73" t="str">
        <x:v>多重攻击Lv2：对地4重射；对地+30%伤害；对空-50%伤害</x:v>
      </x:c>
      <x:c r="M10" s="73" t="str">
        <x:v>多重路线</x:v>
      </x:c>
      <x:c r="N10" s="73" t="str">
        <x:v>N阶段转职；人口+1</x:v>
      </x:c>
    </x:row>
    <x:row r="11">
      <x:c r="A11" s="71" t="n">
        <x:v>7</x:v>
      </x:c>
      <x:c r="B11" s="71" t="str">
        <x:v>多重塔</x:v>
      </x:c>
      <x:c r="C11" s="71" t="str">
        <x:v>N</x:v>
      </x:c>
      <x:c r="D11" s="71" t="str">
        <x:v>多重塔LV2</x:v>
      </x:c>
      <x:c r="E11" s="72" t="n">
        <x:v>1501</x:v>
      </x:c>
      <x:c r="F11" s="72" t="n">
        <x:f>E11-E10</x:f>
        <x:v>600</x:v>
      </x:c>
      <x:c r="G11" s="72" t="n">
        <x:v>50</x:v>
      </x:c>
      <x:c r="H11" s="72" t="n">
        <x:v>1500</x:v>
      </x:c>
      <x:c r="I11" s="72" t="n">
        <x:v>0</x:v>
      </x:c>
      <x:c r="J11" s="72" t="n">
        <x:f>J10+G11</x:f>
        <x:v>70</x:v>
      </x:c>
      <x:c r="K11" s="72" t="n">
        <x:f>K10+H11</x:f>
        <x:v>3400</x:v>
      </x:c>
      <x:c r="L11" s="73" t="str">
        <x:v>多重攻击Lv3：对地5重射；对地+30%伤害；对空-50%伤害</x:v>
      </x:c>
      <x:c r="M11" s="73" t="str">
        <x:v>多重路线</x:v>
      </x:c>
      <x:c r="N11" s="73" t="str"/>
    </x:row>
    <x:row r="12">
      <x:c r="A12" s="71" t="n">
        <x:v>8</x:v>
      </x:c>
      <x:c r="B12" s="71" t="str">
        <x:v>多重塔</x:v>
      </x:c>
      <x:c r="C12" s="71" t="str">
        <x:v>N</x:v>
      </x:c>
      <x:c r="D12" s="71" t="str">
        <x:v>多重塔LV3</x:v>
      </x:c>
      <x:c r="E12" s="72" t="n">
        <x:v>2101</x:v>
      </x:c>
      <x:c r="F12" s="72" t="n">
        <x:f>E12-E11</x:f>
        <x:v>600</x:v>
      </x:c>
      <x:c r="G12" s="72" t="n">
        <x:v>200</x:v>
      </x:c>
      <x:c r="H12" s="72" t="n">
        <x:v>2000</x:v>
      </x:c>
      <x:c r="I12" s="72" t="n">
        <x:v>0</x:v>
      </x:c>
      <x:c r="J12" s="72" t="n">
        <x:f>J11+G12</x:f>
        <x:v>270</x:v>
      </x:c>
      <x:c r="K12" s="72" t="n">
        <x:f>K11+H12</x:f>
        <x:v>5400</x:v>
      </x:c>
      <x:c r="L12" s="73" t="str">
        <x:v>多重攻击Lv4：对地6重射；对地+30%伤害；对空-50%伤害</x:v>
      </x:c>
      <x:c r="M12" s="73" t="str">
        <x:v>多重路线</x:v>
      </x:c>
      <x:c r="N12" s="73" t="str"/>
    </x:row>
    <x:row r="13">
      <x:c r="A13" s="71" t="n">
        <x:v>9</x:v>
      </x:c>
      <x:c r="B13" s="71" t="str">
        <x:v>多重塔</x:v>
      </x:c>
      <x:c r="C13" s="71" t="str">
        <x:v>N</x:v>
      </x:c>
      <x:c r="D13" s="71" t="str">
        <x:v>多重塔LV4</x:v>
      </x:c>
      <x:c r="E13" s="72" t="n">
        <x:v>3901</x:v>
      </x:c>
      <x:c r="F13" s="72" t="n">
        <x:f>E13-E12</x:f>
        <x:v>1800</x:v>
      </x:c>
      <x:c r="G13" s="72" t="n">
        <x:v>500</x:v>
      </x:c>
      <x:c r="H13" s="72" t="n">
        <x:v>2500</x:v>
      </x:c>
      <x:c r="I13" s="72" t="n">
        <x:v>0</x:v>
      </x:c>
      <x:c r="J13" s="72" t="n">
        <x:f>J12+G13</x:f>
        <x:v>770</x:v>
      </x:c>
      <x:c r="K13" s="72" t="n">
        <x:f>K12+H13</x:f>
        <x:v>7900</x:v>
      </x:c>
      <x:c r="L13" s="73" t="str">
        <x:v>多重攻击Lv5：对地7重射；对地+30%伤害；对空-50%伤害</x:v>
      </x:c>
      <x:c r="M13" s="73" t="str">
        <x:v>多重路线</x:v>
      </x:c>
      <x:c r="N13" s="73" t="str"/>
    </x:row>
    <x:row r="14">
      <x:c r="A14" s="71" t="n">
        <x:v>10</x:v>
      </x:c>
      <x:c r="B14" s="71" t="str">
        <x:v>多重塔</x:v>
      </x:c>
      <x:c r="C14" s="71" t="str">
        <x:v>N</x:v>
      </x:c>
      <x:c r="D14" s="71" t="str">
        <x:v>多重塔LV5</x:v>
      </x:c>
      <x:c r="E14" s="72" t="n">
        <x:v>6101</x:v>
      </x:c>
      <x:c r="F14" s="72" t="n">
        <x:f>E14-E13</x:f>
        <x:v>2200</x:v>
      </x:c>
      <x:c r="G14" s="72" t="n">
        <x:v>1000</x:v>
      </x:c>
      <x:c r="H14" s="72" t="n">
        <x:v>3000</x:v>
      </x:c>
      <x:c r="I14" s="72" t="n">
        <x:v>0</x:v>
      </x:c>
      <x:c r="J14" s="72" t="n">
        <x:f>J13+G14</x:f>
        <x:v>1770</x:v>
      </x:c>
      <x:c r="K14" s="72" t="n">
        <x:f>K13+H14</x:f>
        <x:v>10900</x:v>
      </x:c>
      <x:c r="L14" s="73" t="str">
        <x:v>多重攻击Lv5：对地7重射；对地+30%伤害；对空-50%伤害</x:v>
      </x:c>
      <x:c r="M14" s="73" t="str">
        <x:v>多重路线</x:v>
      </x:c>
      <x:c r="N14" s="73" t="str"/>
    </x:row>
    <x:row r="15">
      <x:c r="A15" s="77" t="n">
        <x:v>11</x:v>
      </x:c>
      <x:c r="B15" s="77" t="str">
        <x:v>穿透弩炮</x:v>
      </x:c>
      <x:c r="C15" s="77" t="str">
        <x:v>R</x:v>
      </x:c>
      <x:c r="D15" s="77" t="str">
        <x:v>穿透弩炮LV1</x:v>
      </x:c>
      <x:c r="E15" s="78" t="n">
        <x:v>12101</x:v>
      </x:c>
      <x:c r="F15" s="78" t="n">
        <x:f>E15-E14</x:f>
        <x:v>6000</x:v>
      </x:c>
      <x:c r="G15" s="78" t="n">
        <x:v>1000</x:v>
      </x:c>
      <x:c r="H15" s="78" t="n">
        <x:v>20000</x:v>
      </x:c>
      <x:c r="I15" s="78" t="n">
        <x:v>1</x:v>
      </x:c>
      <x:c r="J15" s="78" t="n">
        <x:f>J14+G15</x:f>
        <x:v>2770</x:v>
      </x:c>
      <x:c r="K15" s="78" t="n">
        <x:f>K14+H15</x:f>
        <x:v>30900</x:v>
      </x:c>
      <x:c r="L15" s="79" t="str">
        <x:v>多重攻击Lv5：对地7重射
穿透弩炮Lv2：无视15%护甲</x:v>
      </x:c>
      <x:c r="M15" s="79" t="str">
        <x:v>多重路线</x:v>
      </x:c>
      <x:c r="N15" s="79" t="str">
        <x:v>R阶段转职；人口+1</x:v>
      </x:c>
    </x:row>
    <x:row r="16">
      <x:c r="A16" s="77" t="n">
        <x:v>12</x:v>
      </x:c>
      <x:c r="B16" s="77" t="str">
        <x:v>穿透弩炮</x:v>
      </x:c>
      <x:c r="C16" s="77" t="str">
        <x:v>R</x:v>
      </x:c>
      <x:c r="D16" s="77" t="str">
        <x:v>穿透弩炮LV2</x:v>
      </x:c>
      <x:c r="E16" s="78" t="n">
        <x:v>35101</x:v>
      </x:c>
      <x:c r="F16" s="78" t="n">
        <x:f>E16-E15</x:f>
        <x:v>23000</x:v>
      </x:c>
      <x:c r="G16" s="78" t="n">
        <x:v>2000</x:v>
      </x:c>
      <x:c r="H16" s="78" t="n">
        <x:v>40000</x:v>
      </x:c>
      <x:c r="I16" s="78" t="n">
        <x:v>0</x:v>
      </x:c>
      <x:c r="J16" s="78" t="n">
        <x:f>J15+G16</x:f>
        <x:v>4770</x:v>
      </x:c>
      <x:c r="K16" s="78" t="n">
        <x:f>K15+H16</x:f>
        <x:v>70900</x:v>
      </x:c>
      <x:c r="L16" s="79" t="str">
        <x:v>多重攻击Lv5：对地7重射
穿透弩炮Lv3：无视20%护甲</x:v>
      </x:c>
      <x:c r="M16" s="79" t="str">
        <x:v>多重路线</x:v>
      </x:c>
      <x:c r="N16" s="79" t="str"/>
    </x:row>
    <x:row r="17">
      <x:c r="A17" s="77" t="n">
        <x:v>13</x:v>
      </x:c>
      <x:c r="B17" s="77" t="str">
        <x:v>穿透弩炮</x:v>
      </x:c>
      <x:c r="C17" s="77" t="str">
        <x:v>R</x:v>
      </x:c>
      <x:c r="D17" s="77" t="str">
        <x:v>穿透弩炮LV3</x:v>
      </x:c>
      <x:c r="E17" s="78" t="n">
        <x:v>50101</x:v>
      </x:c>
      <x:c r="F17" s="78" t="n">
        <x:f>E17-E16</x:f>
        <x:v>15000</x:v>
      </x:c>
      <x:c r="G17" s="78" t="n">
        <x:v>5000</x:v>
      </x:c>
      <x:c r="H17" s="78" t="n">
        <x:v>60000</x:v>
      </x:c>
      <x:c r="I17" s="78" t="n">
        <x:v>0</x:v>
      </x:c>
      <x:c r="J17" s="78" t="n">
        <x:f>J16+G17</x:f>
        <x:v>9770</x:v>
      </x:c>
      <x:c r="K17" s="78" t="n">
        <x:f>K16+H17</x:f>
        <x:v>130900</x:v>
      </x:c>
      <x:c r="L17" s="79" t="str">
        <x:v>多重攻击Lv5：对地7重射
穿透弩炮Lv4：无视25%护甲</x:v>
      </x:c>
      <x:c r="M17" s="79" t="str">
        <x:v>多重路线</x:v>
      </x:c>
      <x:c r="N17" s="79" t="str"/>
    </x:row>
    <x:row r="18">
      <x:c r="A18" s="77" t="n">
        <x:v>14</x:v>
      </x:c>
      <x:c r="B18" s="77" t="str">
        <x:v>穿透弩炮</x:v>
      </x:c>
      <x:c r="C18" s="77" t="str">
        <x:v>R</x:v>
      </x:c>
      <x:c r="D18" s="77" t="str">
        <x:v>穿透弩炮LV4</x:v>
      </x:c>
      <x:c r="E18" s="78" t="n">
        <x:v>75101</x:v>
      </x:c>
      <x:c r="F18" s="78" t="n">
        <x:f>E18-E17</x:f>
        <x:v>25000</x:v>
      </x:c>
      <x:c r="G18" s="78" t="n">
        <x:v>10000</x:v>
      </x:c>
      <x:c r="H18" s="78" t="n">
        <x:v>100000</x:v>
      </x:c>
      <x:c r="I18" s="78" t="n">
        <x:v>0</x:v>
      </x:c>
      <x:c r="J18" s="78" t="n">
        <x:f>J17+G18</x:f>
        <x:v>19770</x:v>
      </x:c>
      <x:c r="K18" s="78" t="n">
        <x:f>K17+H18</x:f>
        <x:v>230900</x:v>
      </x:c>
      <x:c r="L18" s="79" t="str">
        <x:v>多重攻击Lv5：对地7重射
穿透弩炮Lv5：无视30%护甲</x:v>
      </x:c>
      <x:c r="M18" s="79" t="str">
        <x:v>多重路线</x:v>
      </x:c>
      <x:c r="N18" s="79" t="str"/>
    </x:row>
    <x:row r="19">
      <x:c r="A19" s="77" t="n">
        <x:v>15</x:v>
      </x:c>
      <x:c r="B19" s="77" t="str">
        <x:v>穿透弩炮</x:v>
      </x:c>
      <x:c r="C19" s="77" t="str">
        <x:v>R</x:v>
      </x:c>
      <x:c r="D19" s="77" t="str">
        <x:v>穿透弩炮LV5</x:v>
      </x:c>
      <x:c r="E19" s="78" t="n">
        <x:v>108101</x:v>
      </x:c>
      <x:c r="F19" s="78" t="n">
        <x:f>E19-E18</x:f>
        <x:v>33000</x:v>
      </x:c>
      <x:c r="G19" s="78" t="n">
        <x:v>20000</x:v>
      </x:c>
      <x:c r="H19" s="78" t="n">
        <x:v>100000</x:v>
      </x:c>
      <x:c r="I19" s="78" t="n">
        <x:v>0</x:v>
      </x:c>
      <x:c r="J19" s="78" t="n">
        <x:f>J18+G19</x:f>
        <x:v>39770</x:v>
      </x:c>
      <x:c r="K19" s="78" t="n">
        <x:f>K18+H19</x:f>
        <x:v>330900</x:v>
      </x:c>
      <x:c r="L19" s="79" t="str">
        <x:v>多重攻击Lv5：对地7重射
穿透弩炮Lv5：无视30%护甲</x:v>
      </x:c>
      <x:c r="M19" s="79" t="str">
        <x:v>多重路线</x:v>
      </x:c>
      <x:c r="N19" s="79" t="str"/>
    </x:row>
    <x:row r="20">
      <x:c r="A20" s="83" t="n">
        <x:v>16</x:v>
      </x:c>
      <x:c r="B20" s="83" t="str">
        <x:v>炙热巨箭塔</x:v>
      </x:c>
      <x:c r="C20" s="83" t="str">
        <x:v>SR</x:v>
      </x:c>
      <x:c r="D20" s="83" t="str">
        <x:v>炙热巨箭塔LV1</x:v>
      </x:c>
      <x:c r="E20" s="84" t="n">
        <x:v>308101</x:v>
      </x:c>
      <x:c r="F20" s="84" t="n">
        <x:f>E20-E19</x:f>
        <x:v>200000</x:v>
      </x:c>
      <x:c r="G20" s="84" t="n">
        <x:v>30000</x:v>
      </x:c>
      <x:c r="H20" s="84" t="n">
        <x:v>200000</x:v>
      </x:c>
      <x:c r="I20" s="84" t="n">
        <x:v>2</x:v>
      </x:c>
      <x:c r="J20" s="84" t="n">
        <x:f>J19+G20</x:f>
        <x:v>69770</x:v>
      </x:c>
      <x:c r="K20" s="84" t="n">
        <x:f>K19+H20</x:f>
        <x:v>530900</x:v>
      </x:c>
      <x:c r="L20" s="85" t="str">
        <x:v>多重攻击Lv5：对地7重射；对地+30%；对空-50%
穿透弩炮Lv5：无视30%护甲
炙热巨箭塔Lv1：巨箭对路径上的敌人造成100%伤害</x:v>
      </x:c>
      <x:c r="M20" s="85" t="str">
        <x:v>多重路线</x:v>
      </x:c>
      <x:c r="N20" s="85" t="str">
        <x:v>SR阶段转职；人口+2</x:v>
      </x:c>
    </x:row>
    <x:row r="21">
      <x:c r="A21" s="83" t="n">
        <x:v>17</x:v>
      </x:c>
      <x:c r="B21" s="83" t="str">
        <x:v>炙热巨箭塔</x:v>
      </x:c>
      <x:c r="C21" s="83" t="str">
        <x:v>SR</x:v>
      </x:c>
      <x:c r="D21" s="83" t="str">
        <x:v>炙热巨箭塔LV2</x:v>
      </x:c>
      <x:c r="E21" s="84" t="n">
        <x:v>508101</x:v>
      </x:c>
      <x:c r="F21" s="84" t="n">
        <x:f>E21-E20</x:f>
        <x:v>200000</x:v>
      </x:c>
      <x:c r="G21" s="84" t="n">
        <x:v>60000</x:v>
      </x:c>
      <x:c r="H21" s="84" t="n">
        <x:v>200000</x:v>
      </x:c>
      <x:c r="I21" s="84" t="n">
        <x:v>0</x:v>
      </x:c>
      <x:c r="J21" s="84" t="n">
        <x:f>J20+G21</x:f>
        <x:v>129770</x:v>
      </x:c>
      <x:c r="K21" s="84" t="n">
        <x:f>K20+H21</x:f>
        <x:v>730900</x:v>
      </x:c>
      <x:c r="L21" s="85" t="str">
        <x:v>多重攻击Lv5：对地7重射；对地+30%；对空-50%
穿透弩炮Lv5：无视30%护甲
炙热巨箭塔Lv1：巨箭对路径上的敌人造成100%伤害</x:v>
      </x:c>
      <x:c r="M21" s="85" t="str">
        <x:v>多重路线</x:v>
      </x:c>
      <x:c r="N21" s="85" t="str"/>
    </x:row>
    <x:row r="22">
      <x:c r="A22" s="83" t="n">
        <x:v>18</x:v>
      </x:c>
      <x:c r="B22" s="83" t="str">
        <x:v>炙热巨箭塔</x:v>
      </x:c>
      <x:c r="C22" s="83" t="str">
        <x:v>SR</x:v>
      </x:c>
      <x:c r="D22" s="83" t="str">
        <x:v>炙热巨箭塔LV3</x:v>
      </x:c>
      <x:c r="E22" s="84" t="n">
        <x:v>808101</x:v>
      </x:c>
      <x:c r="F22" s="84" t="n">
        <x:f>E22-E21</x:f>
        <x:v>300000</x:v>
      </x:c>
      <x:c r="G22" s="84" t="n">
        <x:v>90000</x:v>
      </x:c>
      <x:c r="H22" s="84" t="n">
        <x:v>200000</x:v>
      </x:c>
      <x:c r="I22" s="84" t="n">
        <x:v>0</x:v>
      </x:c>
      <x:c r="J22" s="84" t="n">
        <x:f>J21+G22</x:f>
        <x:v>219770</x:v>
      </x:c>
      <x:c r="K22" s="84" t="n">
        <x:f>K21+H22</x:f>
        <x:v>930900</x:v>
      </x:c>
      <x:c r="L22" s="85" t="str">
        <x:v>多重攻击Lv5：对地7重射；对地+30%；对空-50%
穿透弩炮Lv5：无视30%护甲
炙热巨箭塔Lv1：巨箭对路径上的敌人造成100%伤害</x:v>
      </x:c>
      <x:c r="M22" s="85" t="str">
        <x:v>多重路线</x:v>
      </x:c>
      <x:c r="N22" s="85" t="str"/>
    </x:row>
    <x:row r="23">
      <x:c r="A23" s="83" t="n">
        <x:v>19</x:v>
      </x:c>
      <x:c r="B23" s="83" t="str">
        <x:v>炙热巨箭塔</x:v>
      </x:c>
      <x:c r="C23" s="83" t="str">
        <x:v>SR</x:v>
      </x:c>
      <x:c r="D23" s="83" t="str">
        <x:v>炙热巨箭塔LV4</x:v>
      </x:c>
      <x:c r="E23" s="84" t="n">
        <x:v>1008101</x:v>
      </x:c>
      <x:c r="F23" s="84" t="n">
        <x:f>E23-E22</x:f>
        <x:v>200000</x:v>
      </x:c>
      <x:c r="G23" s="84" t="n">
        <x:v>120000</x:v>
      </x:c>
      <x:c r="H23" s="84" t="n">
        <x:v>200000</x:v>
      </x:c>
      <x:c r="I23" s="84" t="n">
        <x:v>0</x:v>
      </x:c>
      <x:c r="J23" s="84" t="n">
        <x:f>J22+G23</x:f>
        <x:v>339770</x:v>
      </x:c>
      <x:c r="K23" s="84" t="n">
        <x:f>K22+H23</x:f>
        <x:v>1130900</x:v>
      </x:c>
      <x:c r="L23" s="85" t="str">
        <x:v>多重攻击Lv5：对地7重射；对地+30%；对空-50%
穿透弩炮Lv5：无视30%护甲
炙热巨箭塔Lv1：巨箭对路径上的敌人造成100%伤害</x:v>
      </x:c>
      <x:c r="M23" s="85" t="str">
        <x:v>多重路线</x:v>
      </x:c>
      <x:c r="N23" s="85" t="str"/>
    </x:row>
    <x:row r="24">
      <x:c r="A24" s="83" t="n">
        <x:v>20</x:v>
      </x:c>
      <x:c r="B24" s="83" t="str">
        <x:v>炙热巨箭塔</x:v>
      </x:c>
      <x:c r="C24" s="83" t="str">
        <x:v>SR</x:v>
      </x:c>
      <x:c r="D24" s="83" t="str">
        <x:v>炙热巨箭塔LV5</x:v>
      </x:c>
      <x:c r="E24" s="84" t="n">
        <x:v>1508101</x:v>
      </x:c>
      <x:c r="F24" s="84" t="n">
        <x:f>E24-E23</x:f>
        <x:v>500000</x:v>
      </x:c>
      <x:c r="G24" s="84" t="n">
        <x:v>150000</x:v>
      </x:c>
      <x:c r="H24" s="84" t="n">
        <x:v>200000</x:v>
      </x:c>
      <x:c r="I24" s="84" t="n">
        <x:v>0</x:v>
      </x:c>
      <x:c r="J24" s="84" t="n">
        <x:f>J23+G24</x:f>
        <x:v>489770</x:v>
      </x:c>
      <x:c r="K24" s="84" t="n">
        <x:f>K23+H24</x:f>
        <x:v>1330900</x:v>
      </x:c>
      <x:c r="L24" s="85" t="str">
        <x:v>多重攻击Lv5：对地7重射；对地+30%；对空-50%
穿透弩炮Lv5：无视30%护甲
炙热巨箭塔Lv1：巨箭对路径上的敌人造成100%伤害</x:v>
      </x:c>
      <x:c r="M24" s="85" t="str">
        <x:v>多重路线</x:v>
      </x:c>
      <x:c r="N24" s="85" t="str"/>
    </x:row>
    <x:row r="25">
      <x:c r="A25" s="83" t="n">
        <x:v>21</x:v>
      </x:c>
      <x:c r="B25" s="83" t="str">
        <x:v>炙热巨箭塔</x:v>
      </x:c>
      <x:c r="C25" s="83" t="str">
        <x:v>SSR</x:v>
      </x:c>
      <x:c r="D25" s="83" t="str">
        <x:v>炙热巨箭塔LV6</x:v>
      </x:c>
      <x:c r="E25" s="84" t="n">
        <x:v>2008101</x:v>
      </x:c>
      <x:c r="F25" s="84" t="n">
        <x:f>E25-E24</x:f>
        <x:v>500000</x:v>
      </x:c>
      <x:c r="G25" s="84" t="n">
        <x:v>200000</x:v>
      </x:c>
      <x:c r="H25" s="84" t="n">
        <x:v>400000</x:v>
      </x:c>
      <x:c r="I25" s="84" t="n">
        <x:v>0</x:v>
      </x:c>
      <x:c r="J25" s="84" t="n">
        <x:f>J24+G25</x:f>
        <x:v>689770</x:v>
      </x:c>
      <x:c r="K25" s="84" t="n">
        <x:f>K24+H25</x:f>
        <x:v>1730900</x:v>
      </x:c>
      <x:c r="L25" s="85" t="str">
        <x:v>多重攻击Lv5：对地7重射；对地+30%；对空-50%
穿透弩炮Lv5：无视30%护甲
炙热巨箭塔Lv1：巨箭对路径上的敌人造成100%伤害</x:v>
      </x:c>
      <x:c r="M25" s="85" t="str">
        <x:v>多重路线</x:v>
      </x:c>
      <x:c r="N25" s="85" t="str">
        <x:v>最终塔LV6开始稀有度前缀变为SSR</x:v>
      </x:c>
    </x:row>
    <x:row r="26">
      <x:c r="A26" s="83" t="n">
        <x:v>22</x:v>
      </x:c>
      <x:c r="B26" s="83" t="str">
        <x:v>炙热巨箭塔</x:v>
      </x:c>
      <x:c r="C26" s="83" t="str">
        <x:v>SSR</x:v>
      </x:c>
      <x:c r="D26" s="83" t="str">
        <x:v>炙热巨箭塔LV7</x:v>
      </x:c>
      <x:c r="E26" s="84" t="n">
        <x:v>3008101</x:v>
      </x:c>
      <x:c r="F26" s="84" t="n">
        <x:f>E26-E25</x:f>
        <x:v>1000000</x:v>
      </x:c>
      <x:c r="G26" s="84" t="n">
        <x:v>250000</x:v>
      </x:c>
      <x:c r="H26" s="84" t="n">
        <x:v>500000</x:v>
      </x:c>
      <x:c r="I26" s="84" t="n">
        <x:v>0</x:v>
      </x:c>
      <x:c r="J26" s="84" t="n">
        <x:f>J25+G26</x:f>
        <x:v>939770</x:v>
      </x:c>
      <x:c r="K26" s="84" t="n">
        <x:f>K25+H26</x:f>
        <x:v>2230900</x:v>
      </x:c>
      <x:c r="L26" s="85" t="str">
        <x:v>多重攻击Lv5：对地7重射；对地+30%；对空-50%
穿透弩炮Lv5：无视30%护甲
炙热巨箭塔Lv1：巨箭对路径上的敌人造成100%伤害</x:v>
      </x:c>
      <x:c r="M26" s="85" t="str">
        <x:v>多重路线</x:v>
      </x:c>
      <x:c r="N26" s="85" t="str"/>
    </x:row>
    <x:row r="27">
      <x:c r="A27" s="83" t="n">
        <x:v>23</x:v>
      </x:c>
      <x:c r="B27" s="83" t="str">
        <x:v>炙热巨箭塔</x:v>
      </x:c>
      <x:c r="C27" s="83" t="str">
        <x:v>SSR</x:v>
      </x:c>
      <x:c r="D27" s="83" t="str">
        <x:v>炙热巨箭塔LV8</x:v>
      </x:c>
      <x:c r="E27" s="84" t="n">
        <x:v>4008101</x:v>
      </x:c>
      <x:c r="F27" s="84" t="n">
        <x:f>E27-E26</x:f>
        <x:v>1000000</x:v>
      </x:c>
      <x:c r="G27" s="84" t="n">
        <x:v>300000</x:v>
      </x:c>
      <x:c r="H27" s="84" t="n">
        <x:v>600000</x:v>
      </x:c>
      <x:c r="I27" s="84" t="n">
        <x:v>0</x:v>
      </x:c>
      <x:c r="J27" s="84" t="n">
        <x:f>J26+G27</x:f>
        <x:v>1239770</x:v>
      </x:c>
      <x:c r="K27" s="84" t="n">
        <x:f>K26+H27</x:f>
        <x:v>2830900</x:v>
      </x:c>
      <x:c r="L27" s="85" t="str">
        <x:v>多重攻击Lv5：对地7重射；对地+30%；对空-50%
穿透弩炮Lv5：无视30%护甲
炙热巨箭塔Lv1：巨箭对路径上的敌人造成100%伤害</x:v>
      </x:c>
      <x:c r="M27" s="85" t="str">
        <x:v>多重路线</x:v>
      </x:c>
      <x:c r="N27" s="85" t="str"/>
    </x:row>
    <x:row r="28">
      <x:c r="A28" s="83" t="n">
        <x:v>24</x:v>
      </x:c>
      <x:c r="B28" s="83" t="str">
        <x:v>炙热巨箭塔</x:v>
      </x:c>
      <x:c r="C28" s="83" t="str">
        <x:v>SSR</x:v>
      </x:c>
      <x:c r="D28" s="83" t="str">
        <x:v>炙热巨箭塔LV9</x:v>
      </x:c>
      <x:c r="E28" s="84" t="n">
        <x:v>5008101</x:v>
      </x:c>
      <x:c r="F28" s="84" t="n">
        <x:f>E28-E27</x:f>
        <x:v>1000000</x:v>
      </x:c>
      <x:c r="G28" s="84" t="n">
        <x:v>350000</x:v>
      </x:c>
      <x:c r="H28" s="84" t="n">
        <x:v>700000</x:v>
      </x:c>
      <x:c r="I28" s="84" t="n">
        <x:v>0</x:v>
      </x:c>
      <x:c r="J28" s="84" t="n">
        <x:f>J27+G28</x:f>
        <x:v>1589770</x:v>
      </x:c>
      <x:c r="K28" s="84" t="n">
        <x:f>K27+H28</x:f>
        <x:v>3530900</x:v>
      </x:c>
      <x:c r="L28" s="85" t="str">
        <x:v>多重攻击Lv5：对地7重射；对地+30%；对空-50%
穿透弩炮Lv5：无视30%护甲
炙热巨箭塔Lv1：巨箭对路径上的敌人造成100%伤害</x:v>
      </x:c>
      <x:c r="M28" s="85" t="str">
        <x:v>多重路线</x:v>
      </x:c>
      <x:c r="N28" s="85" t="str"/>
    </x:row>
    <x:row r="29">
      <x:c r="A29" s="83" t="n">
        <x:v>25</x:v>
      </x:c>
      <x:c r="B29" s="83" t="str">
        <x:v>炙热巨箭塔</x:v>
      </x:c>
      <x:c r="C29" s="83" t="str">
        <x:v>SSR</x:v>
      </x:c>
      <x:c r="D29" s="83" t="str">
        <x:v>炙热巨箭塔LV10</x:v>
      </x:c>
      <x:c r="E29" s="84" t="n">
        <x:v>6008101</x:v>
      </x:c>
      <x:c r="F29" s="84" t="n">
        <x:f>E29-E28</x:f>
        <x:v>1000000</x:v>
      </x:c>
      <x:c r="G29" s="84" t="n">
        <x:v>400000</x:v>
      </x:c>
      <x:c r="H29" s="84" t="n">
        <x:v>800000</x:v>
      </x:c>
      <x:c r="I29" s="84" t="n">
        <x:v>0</x:v>
      </x:c>
      <x:c r="J29" s="84" t="n">
        <x:f>J28+G29</x:f>
        <x:v>1989770</x:v>
      </x:c>
      <x:c r="K29" s="84" t="n">
        <x:f>K28+H29</x:f>
        <x:v>4330900</x:v>
      </x:c>
      <x:c r="L29" s="85" t="str">
        <x:v>多重攻击Lv5：对地7重射；对地+30%；对空-50%
穿透弩炮Lv5：无视30%护甲
炙热巨箭塔Lv1：巨箭对路径上的敌人造成100%伤害</x:v>
      </x:c>
      <x:c r="M29" s="85" t="str">
        <x:v>多重路线</x:v>
      </x:c>
      <x:c r="N29" s="85" t="str"/>
    </x:row>
    <x:row r="31" ht="32" customHeight="1">
      <x:c r="A31" s="93" t="str">
        <x:v>本路线累计成本（箭塔1-1 → 最终塔LV10）</x:v>
      </x:c>
      <x:c r="B31" s="93"/>
      <x:c r="C31" s="93"/>
      <x:c r="D31" s="93"/>
      <x:c r="E31" s="93"/>
      <x:c r="F31" s="93"/>
      <x:c r="G31" s="99" t="n">
        <x:f>SUM(G5:G29)</x:f>
        <x:v>1989770</x:v>
      </x:c>
      <x:c r="H31" s="99" t="n">
        <x:f>SUM(H5:H29)</x:f>
        <x:v>4330900</x:v>
      </x:c>
      <x:c r="I31" s="99" t="n">
        <x:f>SUM(I5:I29)</x:f>
        <x:v>4</x:v>
      </x:c>
      <x:c r="J31" s="93" t="str">
        <x:v>不含主城、前置建筑、工人和其他成长路线成本</x:v>
      </x:c>
      <x:c r="K31" s="93"/>
      <x:c r="L31" s="93"/>
      <x:c r="M31" s="93"/>
      <x:c r="N31" s="93"/>
    </x:row>
    <x:row r="34" ht="28" customHeight="1">
      <x:c r="A34" s="169"/>
      <x:c r="B34" s="169"/>
      <x:c r="C34" s="169"/>
      <x:c r="D34" s="169"/>
      <x:c r="E34" s="169"/>
      <x:c r="F34" s="169"/>
      <x:c r="G34" s="169"/>
    </x:row>
    <x:row r="35">
      <x:c r="A35" s="111"/>
      <x:c r="B35" s="111"/>
      <x:c r="C35" s="111"/>
      <x:c r="D35" s="111"/>
      <x:c r="E35" s="111"/>
      <x:c r="F35" s="111"/>
      <x:c r="G35" s="111"/>
    </x:row>
    <x:row r="36">
      <x:c r="A36" s="31"/>
      <x:c r="B36" s="31"/>
      <x:c r="C36" s="31"/>
      <x:c r="D36" s="31"/>
      <x:c r="E36" s="31"/>
      <x:c r="F36" s="31"/>
      <x:c r="G36" s="31"/>
    </x:row>
    <x:row r="37">
      <x:c r="A37" s="33"/>
      <x:c r="B37" s="33"/>
      <x:c r="C37" s="33"/>
      <x:c r="D37" s="33"/>
      <x:c r="E37" s="33"/>
      <x:c r="F37" s="33"/>
      <x:c r="G37" s="33"/>
    </x:row>
    <x:row r="38">
      <x:c r="A38" s="31"/>
      <x:c r="B38" s="31"/>
      <x:c r="C38" s="31"/>
      <x:c r="D38" s="31"/>
      <x:c r="E38" s="31"/>
      <x:c r="F38" s="31"/>
      <x:c r="G38" s="31"/>
    </x:row>
  </x:sheetData>
  <x:mergeCells>
    <x:mergeCell ref="A1:N1"/>
    <x:mergeCell ref="A2:N2"/>
    <x:mergeCell ref="A31:F31"/>
    <x:mergeCell ref="J31:N31"/>
    <x:mergeCell ref="A34:G34"/>
    <x:mergeCell ref="P4:V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25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6" hidden="0" customWidth="1"/>
    <x:col min="11" max="11" width="16" hidden="0" customWidth="1"/>
    <x:col min="12" max="12" width="58" hidden="0" customWidth="1"/>
    <x:col min="13" max="13" width="16" hidden="0" customWidth="1"/>
    <x:col min="14" max="14" width="38" hidden="0" customWidth="1"/>
    <x:col min="16" max="16" width="15" hidden="0" customWidth="1"/>
    <x:col min="17" max="17" width="20" hidden="0" customWidth="1"/>
    <x:col min="18" max="18" width="16" hidden="0" customWidth="1"/>
    <x:col min="19" max="19" width="18" hidden="0" customWidth="1"/>
    <x:col min="20" max="20" width="65" hidden="0" customWidth="1"/>
    <x:col min="21" max="21" width="40" hidden="0" customWidth="1"/>
    <x:col min="22" max="22" width="44" hidden="0" customWidth="1"/>
  </x:cols>
  <x:sheetData>
    <x:row r="1" ht="32" customHeight="1">
      <x:c r="A1" s="176" t="str">
        <x:v>箭塔 → 冰霜之塔 → 寒冰尖塔 → 极地方尖碑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42" customHeight="1">
      <x:c r="A2" s="55" t="str">
        <x:v>来源：bandicam 2026-07-19 13-06-14-620_20260719_14204603.mp4；时间范围：约411秒—504秒。攻击力为升级完成后的首个稳定显示值；忽略已知每秒+4攻击力成长。金币/木材/人口均按“升到本级”记录。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4" ht="30" customHeight="1">
      <x:c r="A4" s="20" t="str">
        <x:v>序号</x:v>
      </x:c>
      <x:c r="B4" s="20" t="str">
        <x:v>阶段</x:v>
      </x:c>
      <x:c r="C4" s="20" t="str">
        <x:v>稀有度</x:v>
      </x:c>
      <x:c r="D4" s="20" t="str">
        <x:v>等级/名称</x:v>
      </x:c>
      <x:c r="E4" s="20" t="str">
        <x:v>录像攻击力</x:v>
      </x:c>
      <x:c r="F4" s="20" t="str">
        <x:v>较上一级提升</x:v>
      </x:c>
      <x:c r="G4" s="20" t="str">
        <x:v>升到本级金币</x:v>
      </x:c>
      <x:c r="H4" s="20" t="str">
        <x:v>升到本级木材</x:v>
      </x:c>
      <x:c r="I4" s="20" t="str">
        <x:v>人口增量</x:v>
      </x:c>
      <x:c r="J4" s="20" t="str">
        <x:v>累计金币</x:v>
      </x:c>
      <x:c r="K4" s="20" t="str">
        <x:v>累计木材</x:v>
      </x:c>
      <x:c r="L4" s="20" t="str">
        <x:v>当前特殊技能</x:v>
      </x:c>
      <x:c r="M4" s="20" t="str">
        <x:v>录像来源</x:v>
      </x:c>
      <x:c r="N4" s="20" t="str">
        <x:v>备注</x:v>
      </x:c>
      <x:c r="P4" s="235" t="str">
        <x:v>特殊技能文本与成长规律</x:v>
      </x:c>
      <x:c r="Q4" s="235"/>
      <x:c r="R4" s="235"/>
      <x:c r="S4" s="235"/>
      <x:c r="T4" s="235"/>
      <x:c r="U4" s="235"/>
      <x:c r="V4" s="235"/>
    </x:row>
    <x:row r="5" ht="30" customHeight="1">
      <x:c r="A5" s="65" t="n">
        <x:v>1</x:v>
      </x:c>
      <x:c r="B5" s="65" t="str">
        <x:v>箭塔</x:v>
      </x:c>
      <x:c r="C5" s="65" t="str"/>
      <x:c r="D5" s="65" t="str">
        <x:v>箭塔1-1</x:v>
      </x:c>
      <x:c r="E5" s="66" t="n">
        <x:v>172</x:v>
      </x:c>
      <x:c r="F5" s="66" t="str">
        <x:v>—</x:v>
      </x:c>
      <x:c r="G5" s="66" t="n">
        <x:v>0</x:v>
      </x:c>
      <x:c r="H5" s="66" t="n">
        <x:v>50</x:v>
      </x:c>
      <x:c r="I5" s="66" t="n">
        <x:v>0</x:v>
      </x:c>
      <x:c r="J5" s="66" t="n">
        <x:f>G5</x:f>
        <x:v>0</x:v>
      </x:c>
      <x:c r="K5" s="66" t="n">
        <x:f>H5</x:f>
        <x:v>50</x:v>
      </x:c>
      <x:c r="L5" s="67" t="str">
        <x:v>无特殊技能展示</x:v>
      </x:c>
      <x:c r="M5" s="67" t="str">
        <x:v>冰霜路线</x:v>
      </x:c>
      <x:c r="N5" s="67" t="str">
        <x:v>初建成本：木50</x:v>
      </x:c>
      <x:c r="P5" s="210" t="str">
        <x:v>阶段</x:v>
      </x:c>
      <x:c r="Q5" s="210" t="str">
        <x:v>技能名称</x:v>
      </x:c>
      <x:c r="R5" s="210" t="str">
        <x:v>文本来源</x:v>
      </x:c>
      <x:c r="S5" s="210" t="str">
        <x:v>等级/数值</x:v>
      </x:c>
      <x:c r="T5" s="210" t="str">
        <x:v>文本描述</x:v>
      </x:c>
      <x:c r="U5" s="210" t="str">
        <x:v>升级规律</x:v>
      </x:c>
      <x:c r="V5" s="210" t="str">
        <x:v>备注</x:v>
      </x:c>
    </x:row>
    <x:row r="6">
      <x:c r="A6" s="65" t="n">
        <x:v>2</x:v>
      </x:c>
      <x:c r="B6" s="65" t="str">
        <x:v>箭塔</x:v>
      </x:c>
      <x:c r="C6" s="65" t="str"/>
      <x:c r="D6" s="65" t="str">
        <x:v>箭塔1-2</x:v>
      </x:c>
      <x:c r="E6" s="66" t="n">
        <x:v>251</x:v>
      </x:c>
      <x:c r="F6" s="66" t="n">
        <x:f>E6-E5</x:f>
        <x:v>79</x:v>
      </x:c>
      <x:c r="G6" s="66" t="n">
        <x:v>0</x:v>
      </x:c>
      <x:c r="H6" s="66" t="n">
        <x:v>100</x:v>
      </x:c>
      <x:c r="I6" s="66" t="n">
        <x:v>0</x:v>
      </x:c>
      <x:c r="J6" s="66" t="n">
        <x:f>J5+G6</x:f>
        <x:v>0</x:v>
      </x:c>
      <x:c r="K6" s="66" t="n">
        <x:f>K5+H6</x:f>
        <x:v>150</x:v>
      </x:c>
      <x:c r="L6" s="67" t="str">
        <x:v>无特殊技能展示</x:v>
      </x:c>
      <x:c r="M6" s="67" t="str">
        <x:v>冰霜路线</x:v>
      </x:c>
      <x:c r="N6" s="67" t="str">
        <x:v>箭塔1-1→1-2实录差值为+79</x:v>
      </x:c>
      <x:c r="P6" s="214" t="str">
        <x:v>N阶段</x:v>
      </x:c>
      <x:c r="Q6" s="214" t="str">
        <x:v>冰霜攻击</x:v>
      </x:c>
      <x:c r="R6" s="214" t="str">
        <x:v>转职按钮</x:v>
      </x:c>
      <x:c r="S6" s="214" t="str">
        <x:v>按钮描述</x:v>
      </x:c>
      <x:c r="T6" s="214" t="str">
        <x:v>攻击时造成200码的范围攻击，并且减速25%，每次升级提高50码范围</x:v>
      </x:c>
      <x:c r="U6" s="214" t="str">
        <x:v>按钮描述与实际建成后的Lv2数值不一致</x:v>
      </x:c>
      <x:c r="V6" s="214" t="str">
        <x:v>重要文本冲突：实际Lv2显示100码</x:v>
      </x:c>
    </x:row>
    <x:row r="7">
      <x:c r="A7" s="65" t="n">
        <x:v>3</x:v>
      </x:c>
      <x:c r="B7" s="65" t="str">
        <x:v>箭塔</x:v>
      </x:c>
      <x:c r="C7" s="65" t="str"/>
      <x:c r="D7" s="65" t="str">
        <x:v>箭塔1-3</x:v>
      </x:c>
      <x:c r="E7" s="66" t="n">
        <x:v>301</x:v>
      </x:c>
      <x:c r="F7" s="66" t="n">
        <x:f>E7-E6</x:f>
        <x:v>50</x:v>
      </x:c>
      <x:c r="G7" s="66" t="n">
        <x:v>0</x:v>
      </x:c>
      <x:c r="H7" s="66" t="n">
        <x:v>200</x:v>
      </x:c>
      <x:c r="I7" s="66" t="n">
        <x:v>0</x:v>
      </x:c>
      <x:c r="J7" s="66" t="n">
        <x:f>J6+G7</x:f>
        <x:v>0</x:v>
      </x:c>
      <x:c r="K7" s="66" t="n">
        <x:f>K6+H7</x:f>
        <x:v>350</x:v>
      </x:c>
      <x:c r="L7" s="67" t="str">
        <x:v>无特殊技能展示</x:v>
      </x:c>
      <x:c r="M7" s="67" t="str">
        <x:v>冰霜路线</x:v>
      </x:c>
      <x:c r="N7" s="67" t="str"/>
      <x:c r="P7" s="215" t="str">
        <x:v>N阶段</x:v>
      </x:c>
      <x:c r="Q7" s="215" t="str">
        <x:v>冰霜攻击</x:v>
      </x:c>
      <x:c r="R7" s="215" t="str">
        <x:v>实际技能</x:v>
      </x:c>
      <x:c r="S7" s="215" t="str">
        <x:v>Lv2→Lv5</x:v>
      </x:c>
      <x:c r="T7" s="215" t="str">
        <x:v>攻击时造成100/150/200/250码的范围攻击，并且减速25%</x:v>
      </x:c>
      <x:c r="U7" s="215" t="str">
        <x:v>每次升级提高50码范围</x:v>
      </x:c>
      <x:c r="V7" s="215" t="str">
        <x:v>以实际技能面板为数值表依据</x:v>
      </x:c>
    </x:row>
    <x:row r="8">
      <x:c r="A8" s="65" t="n">
        <x:v>4</x:v>
      </x:c>
      <x:c r="B8" s="65" t="str">
        <x:v>箭塔</x:v>
      </x:c>
      <x:c r="C8" s="65" t="str"/>
      <x:c r="D8" s="65" t="str">
        <x:v>箭塔1-4</x:v>
      </x:c>
      <x:c r="E8" s="66" t="n">
        <x:v>401</x:v>
      </x:c>
      <x:c r="F8" s="66" t="n">
        <x:f>E8-E7</x:f>
        <x:v>100</x:v>
      </x:c>
      <x:c r="G8" s="66" t="n">
        <x:v>0</x:v>
      </x:c>
      <x:c r="H8" s="66" t="n">
        <x:v>250</x:v>
      </x:c>
      <x:c r="I8" s="66" t="n">
        <x:v>0</x:v>
      </x:c>
      <x:c r="J8" s="66" t="n">
        <x:f>J7+G8</x:f>
        <x:v>0</x:v>
      </x:c>
      <x:c r="K8" s="66" t="n">
        <x:f>K7+H8</x:f>
        <x:v>600</x:v>
      </x:c>
      <x:c r="L8" s="67" t="str">
        <x:v>无特殊技能展示</x:v>
      </x:c>
      <x:c r="M8" s="67" t="str">
        <x:v>冰霜路线</x:v>
      </x:c>
      <x:c r="N8" s="67" t="str"/>
      <x:c r="P8" s="214" t="str">
        <x:v>R阶段</x:v>
      </x:c>
      <x:c r="Q8" s="214" t="str">
        <x:v>寒冰尖塔</x:v>
      </x:c>
      <x:c r="R8" s="214" t="str">
        <x:v>转职按钮</x:v>
      </x:c>
      <x:c r="S8" s="214" t="str">
        <x:v>基础说明</x:v>
      </x:c>
      <x:c r="T8" s="214" t="str">
        <x:v>攻击有8%几率触发大范围暴风雪，持续造成每秒攻击力100%的伤害并减速</x:v>
      </x:c>
      <x:c r="U8" s="214" t="str">
        <x:v>转职后实际技能直接显示Lv2、10%</x:v>
      </x:c>
      <x:c r="V8" s="214" t="str">
        <x:v>按钮与实际存在一级偏移</x:v>
      </x:c>
    </x:row>
    <x:row r="9">
      <x:c r="A9" s="65" t="n">
        <x:v>5</x:v>
      </x:c>
      <x:c r="B9" s="65" t="str">
        <x:v>箭塔</x:v>
      </x:c>
      <x:c r="C9" s="65" t="str"/>
      <x:c r="D9" s="65" t="str">
        <x:v>箭塔1-5</x:v>
      </x:c>
      <x:c r="E9" s="66" t="n">
        <x:v>501</x:v>
      </x:c>
      <x:c r="F9" s="66" t="n">
        <x:f>E9-E8</x:f>
        <x:v>100</x:v>
      </x:c>
      <x:c r="G9" s="66" t="n">
        <x:v>0</x:v>
      </x:c>
      <x:c r="H9" s="66" t="n">
        <x:v>300</x:v>
      </x:c>
      <x:c r="I9" s="66" t="n">
        <x:v>0</x:v>
      </x:c>
      <x:c r="J9" s="66" t="n">
        <x:f>J8+G9</x:f>
        <x:v>0</x:v>
      </x:c>
      <x:c r="K9" s="66" t="n">
        <x:f>K8+H9</x:f>
        <x:v>900</x:v>
      </x:c>
      <x:c r="L9" s="67" t="str">
        <x:v>无特殊技能展示</x:v>
      </x:c>
      <x:c r="M9" s="67" t="str">
        <x:v>冰霜路线</x:v>
      </x:c>
      <x:c r="N9" s="67" t="str"/>
      <x:c r="P9" s="215" t="str">
        <x:v>R阶段</x:v>
      </x:c>
      <x:c r="Q9" s="215" t="str">
        <x:v>寒冰尖塔</x:v>
      </x:c>
      <x:c r="R9" s="215" t="str">
        <x:v>实际技能</x:v>
      </x:c>
      <x:c r="S9" s="215" t="str">
        <x:v>Lv2→Lv5</x:v>
      </x:c>
      <x:c r="T9" s="215" t="str">
        <x:v>攻击有10%/12%/14%/16%几率触发大范围暴风雪，持续造成每秒攻击力100%的伤害并减速</x:v>
      </x:c>
      <x:c r="U9" s="215" t="str">
        <x:v>每次升级提高2%触发概率</x:v>
      </x:c>
      <x:c r="V9" s="215" t="str">
        <x:v>寒冰尖塔LV4达到Lv5，LV5保持</x:v>
      </x:c>
    </x:row>
    <x:row r="10">
      <x:c r="A10" s="71" t="n">
        <x:v>6</x:v>
      </x:c>
      <x:c r="B10" s="71" t="str">
        <x:v>冰霜之塔</x:v>
      </x:c>
      <x:c r="C10" s="71" t="str">
        <x:v>N</x:v>
      </x:c>
      <x:c r="D10" s="71" t="str">
        <x:v>冰霜之塔LV1</x:v>
      </x:c>
      <x:c r="E10" s="72" t="n">
        <x:v>901</x:v>
      </x:c>
      <x:c r="F10" s="72" t="n">
        <x:f>E10-E9</x:f>
        <x:v>400</x:v>
      </x:c>
      <x:c r="G10" s="72" t="n">
        <x:v>20</x:v>
      </x:c>
      <x:c r="H10" s="72" t="n">
        <x:v>1000</x:v>
      </x:c>
      <x:c r="I10" s="72" t="n">
        <x:v>1</x:v>
      </x:c>
      <x:c r="J10" s="72" t="n">
        <x:f>J9+G10</x:f>
        <x:v>20</x:v>
      </x:c>
      <x:c r="K10" s="72" t="n">
        <x:f>K9+H10</x:f>
        <x:v>1900</x:v>
      </x:c>
      <x:c r="L10" s="73" t="str">
        <x:v>冰霜攻击Lv2：100码范围攻击；减速25%</x:v>
      </x:c>
      <x:c r="M10" s="73" t="str">
        <x:v>冰霜路线</x:v>
      </x:c>
      <x:c r="N10" s="73" t="str">
        <x:v>N阶段转职；人口+1</x:v>
      </x:c>
      <x:c r="P10" s="214" t="str">
        <x:v>最终阶段</x:v>
      </x:c>
      <x:c r="Q10" s="214" t="str">
        <x:v>极地方尖碑</x:v>
      </x:c>
      <x:c r="R10" s="214" t="str">
        <x:v>实际技能</x:v>
      </x:c>
      <x:c r="S10" s="214" t="str">
        <x:v>Lv1</x:v>
      </x:c>
      <x:c r="T10" s="214" t="str">
        <x:v>半径400码范围敌人降低20%攻击速度</x:v>
      </x:c>
      <x:c r="U10" s="214" t="str">
        <x:v>极地方尖碑LV1至LV10保持不变</x:v>
      </x:c>
      <x:c r="V10" s="214" t="str">
        <x:v>录像直接确认</x:v>
      </x:c>
    </x:row>
    <x:row r="11">
      <x:c r="A11" s="71" t="n">
        <x:v>7</x:v>
      </x:c>
      <x:c r="B11" s="71" t="str">
        <x:v>冰霜之塔</x:v>
      </x:c>
      <x:c r="C11" s="71" t="str">
        <x:v>N</x:v>
      </x:c>
      <x:c r="D11" s="71" t="str">
        <x:v>冰霜之塔LV2</x:v>
      </x:c>
      <x:c r="E11" s="72" t="n">
        <x:v>1501</x:v>
      </x:c>
      <x:c r="F11" s="72" t="n">
        <x:f>E11-E10</x:f>
        <x:v>600</x:v>
      </x:c>
      <x:c r="G11" s="72" t="n">
        <x:v>50</x:v>
      </x:c>
      <x:c r="H11" s="72" t="n">
        <x:v>1500</x:v>
      </x:c>
      <x:c r="I11" s="72" t="n">
        <x:v>0</x:v>
      </x:c>
      <x:c r="J11" s="72" t="n">
        <x:f>J10+G11</x:f>
        <x:v>70</x:v>
      </x:c>
      <x:c r="K11" s="72" t="n">
        <x:f>K10+H11</x:f>
        <x:v>3400</x:v>
      </x:c>
      <x:c r="L11" s="73" t="str">
        <x:v>冰霜攻击Lv3：150码范围攻击；减速25%</x:v>
      </x:c>
      <x:c r="M11" s="73" t="str">
        <x:v>冰霜路线</x:v>
      </x:c>
      <x:c r="N11" s="73" t="str"/>
    </x:row>
    <x:row r="12">
      <x:c r="A12" s="71" t="n">
        <x:v>8</x:v>
      </x:c>
      <x:c r="B12" s="71" t="str">
        <x:v>冰霜之塔</x:v>
      </x:c>
      <x:c r="C12" s="71" t="str">
        <x:v>N</x:v>
      </x:c>
      <x:c r="D12" s="71" t="str">
        <x:v>冰霜之塔LV3</x:v>
      </x:c>
      <x:c r="E12" s="72" t="n">
        <x:v>2101</x:v>
      </x:c>
      <x:c r="F12" s="72" t="n">
        <x:f>E12-E11</x:f>
        <x:v>600</x:v>
      </x:c>
      <x:c r="G12" s="72" t="n">
        <x:v>200</x:v>
      </x:c>
      <x:c r="H12" s="72" t="n">
        <x:v>2000</x:v>
      </x:c>
      <x:c r="I12" s="72" t="n">
        <x:v>0</x:v>
      </x:c>
      <x:c r="J12" s="72" t="n">
        <x:f>J11+G12</x:f>
        <x:v>270</x:v>
      </x:c>
      <x:c r="K12" s="72" t="n">
        <x:f>K11+H12</x:f>
        <x:v>5400</x:v>
      </x:c>
      <x:c r="L12" s="73" t="str">
        <x:v>冰霜攻击Lv4：200码范围攻击；减速25%</x:v>
      </x:c>
      <x:c r="M12" s="73" t="str">
        <x:v>冰霜路线</x:v>
      </x:c>
      <x:c r="N12" s="73" t="str"/>
    </x:row>
    <x:row r="13">
      <x:c r="A13" s="71" t="n">
        <x:v>9</x:v>
      </x:c>
      <x:c r="B13" s="71" t="str">
        <x:v>冰霜之塔</x:v>
      </x:c>
      <x:c r="C13" s="71" t="str">
        <x:v>N</x:v>
      </x:c>
      <x:c r="D13" s="71" t="str">
        <x:v>冰霜之塔LV4</x:v>
      </x:c>
      <x:c r="E13" s="72" t="n">
        <x:v>3901</x:v>
      </x:c>
      <x:c r="F13" s="72" t="n">
        <x:f>E13-E12</x:f>
        <x:v>1800</x:v>
      </x:c>
      <x:c r="G13" s="72" t="n">
        <x:v>500</x:v>
      </x:c>
      <x:c r="H13" s="72" t="n">
        <x:v>2500</x:v>
      </x:c>
      <x:c r="I13" s="72" t="n">
        <x:v>0</x:v>
      </x:c>
      <x:c r="J13" s="72" t="n">
        <x:f>J12+G13</x:f>
        <x:v>770</x:v>
      </x:c>
      <x:c r="K13" s="72" t="n">
        <x:f>K12+H13</x:f>
        <x:v>7900</x:v>
      </x:c>
      <x:c r="L13" s="73" t="str">
        <x:v>冰霜攻击Lv5：250码范围攻击；减速25%</x:v>
      </x:c>
      <x:c r="M13" s="73" t="str">
        <x:v>冰霜路线</x:v>
      </x:c>
      <x:c r="N13" s="73" t="str"/>
    </x:row>
    <x:row r="14">
      <x:c r="A14" s="71" t="n">
        <x:v>10</x:v>
      </x:c>
      <x:c r="B14" s="71" t="str">
        <x:v>冰霜之塔</x:v>
      </x:c>
      <x:c r="C14" s="71" t="str">
        <x:v>N</x:v>
      </x:c>
      <x:c r="D14" s="71" t="str">
        <x:v>冰霜之塔LV5</x:v>
      </x:c>
      <x:c r="E14" s="72" t="n">
        <x:v>6101</x:v>
      </x:c>
      <x:c r="F14" s="72" t="n">
        <x:f>E14-E13</x:f>
        <x:v>2200</x:v>
      </x:c>
      <x:c r="G14" s="72" t="n">
        <x:v>1000</x:v>
      </x:c>
      <x:c r="H14" s="72" t="n">
        <x:v>3000</x:v>
      </x:c>
      <x:c r="I14" s="72" t="n">
        <x:v>0</x:v>
      </x:c>
      <x:c r="J14" s="72" t="n">
        <x:f>J13+G14</x:f>
        <x:v>1770</x:v>
      </x:c>
      <x:c r="K14" s="72" t="n">
        <x:f>K13+H14</x:f>
        <x:v>10900</x:v>
      </x:c>
      <x:c r="L14" s="73" t="str">
        <x:v>冰霜攻击Lv5：250码范围攻击；减速25%</x:v>
      </x:c>
      <x:c r="M14" s="73" t="str">
        <x:v>冰霜路线</x:v>
      </x:c>
      <x:c r="N14" s="73" t="str"/>
    </x:row>
    <x:row r="15">
      <x:c r="A15" s="77" t="n">
        <x:v>11</x:v>
      </x:c>
      <x:c r="B15" s="77" t="str">
        <x:v>寒冰尖塔</x:v>
      </x:c>
      <x:c r="C15" s="77" t="str">
        <x:v>R</x:v>
      </x:c>
      <x:c r="D15" s="77" t="str">
        <x:v>寒冰尖塔LV1</x:v>
      </x:c>
      <x:c r="E15" s="78" t="n">
        <x:v>12101</x:v>
      </x:c>
      <x:c r="F15" s="78" t="n">
        <x:f>E15-E14</x:f>
        <x:v>6000</x:v>
      </x:c>
      <x:c r="G15" s="78" t="n">
        <x:v>1000</x:v>
      </x:c>
      <x:c r="H15" s="78" t="n">
        <x:v>20000</x:v>
      </x:c>
      <x:c r="I15" s="78" t="n">
        <x:v>1</x:v>
      </x:c>
      <x:c r="J15" s="78" t="n">
        <x:f>J14+G15</x:f>
        <x:v>2770</x:v>
      </x:c>
      <x:c r="K15" s="78" t="n">
        <x:f>K14+H15</x:f>
        <x:v>30900</x:v>
      </x:c>
      <x:c r="L15" s="79" t="str">
        <x:v>冰霜攻击Lv5：250码/减速25%
寒冰尖塔Lv2：10%几率触发大范围暴风雪；每秒100%攻击力伤害并减速</x:v>
      </x:c>
      <x:c r="M15" s="79" t="str">
        <x:v>冰霜路线</x:v>
      </x:c>
      <x:c r="N15" s="79" t="str">
        <x:v>R阶段转职；人口+1</x:v>
      </x:c>
    </x:row>
    <x:row r="16">
      <x:c r="A16" s="77" t="n">
        <x:v>12</x:v>
      </x:c>
      <x:c r="B16" s="77" t="str">
        <x:v>寒冰尖塔</x:v>
      </x:c>
      <x:c r="C16" s="77" t="str">
        <x:v>R</x:v>
      </x:c>
      <x:c r="D16" s="77" t="str">
        <x:v>寒冰尖塔LV2</x:v>
      </x:c>
      <x:c r="E16" s="78" t="n">
        <x:v>35101</x:v>
      </x:c>
      <x:c r="F16" s="78" t="n">
        <x:f>E16-E15</x:f>
        <x:v>23000</x:v>
      </x:c>
      <x:c r="G16" s="78" t="n">
        <x:v>2000</x:v>
      </x:c>
      <x:c r="H16" s="78" t="n">
        <x:v>40000</x:v>
      </x:c>
      <x:c r="I16" s="78" t="n">
        <x:v>0</x:v>
      </x:c>
      <x:c r="J16" s="78" t="n">
        <x:f>J15+G16</x:f>
        <x:v>4770</x:v>
      </x:c>
      <x:c r="K16" s="78" t="n">
        <x:f>K15+H16</x:f>
        <x:v>70900</x:v>
      </x:c>
      <x:c r="L16" s="79" t="str">
        <x:v>冰霜攻击Lv5：250码/减速25%
寒冰尖塔Lv3：12%几率触发大范围暴风雪；每秒100%攻击力伤害并减速</x:v>
      </x:c>
      <x:c r="M16" s="79" t="str">
        <x:v>冰霜路线</x:v>
      </x:c>
      <x:c r="N16" s="79" t="str"/>
    </x:row>
    <x:row r="17">
      <x:c r="A17" s="77" t="n">
        <x:v>13</x:v>
      </x:c>
      <x:c r="B17" s="77" t="str">
        <x:v>寒冰尖塔</x:v>
      </x:c>
      <x:c r="C17" s="77" t="str">
        <x:v>R</x:v>
      </x:c>
      <x:c r="D17" s="77" t="str">
        <x:v>寒冰尖塔LV3</x:v>
      </x:c>
      <x:c r="E17" s="78" t="n">
        <x:v>50101</x:v>
      </x:c>
      <x:c r="F17" s="78" t="n">
        <x:f>E17-E16</x:f>
        <x:v>15000</x:v>
      </x:c>
      <x:c r="G17" s="78" t="n">
        <x:v>5000</x:v>
      </x:c>
      <x:c r="H17" s="78" t="n">
        <x:v>60000</x:v>
      </x:c>
      <x:c r="I17" s="78" t="n">
        <x:v>0</x:v>
      </x:c>
      <x:c r="J17" s="78" t="n">
        <x:f>J16+G17</x:f>
        <x:v>9770</x:v>
      </x:c>
      <x:c r="K17" s="78" t="n">
        <x:f>K16+H17</x:f>
        <x:v>130900</x:v>
      </x:c>
      <x:c r="L17" s="79" t="str">
        <x:v>冰霜攻击Lv5：250码/减速25%
寒冰尖塔Lv4：14%几率触发大范围暴风雪；每秒100%攻击力伤害并减速</x:v>
      </x:c>
      <x:c r="M17" s="79" t="str">
        <x:v>冰霜路线</x:v>
      </x:c>
      <x:c r="N17" s="79" t="str"/>
    </x:row>
    <x:row r="18">
      <x:c r="A18" s="77" t="n">
        <x:v>14</x:v>
      </x:c>
      <x:c r="B18" s="77" t="str">
        <x:v>寒冰尖塔</x:v>
      </x:c>
      <x:c r="C18" s="77" t="str">
        <x:v>R</x:v>
      </x:c>
      <x:c r="D18" s="77" t="str">
        <x:v>寒冰尖塔LV4</x:v>
      </x:c>
      <x:c r="E18" s="78" t="n">
        <x:v>75101</x:v>
      </x:c>
      <x:c r="F18" s="78" t="n">
        <x:f>E18-E17</x:f>
        <x:v>25000</x:v>
      </x:c>
      <x:c r="G18" s="78" t="n">
        <x:v>10000</x:v>
      </x:c>
      <x:c r="H18" s="78" t="n">
        <x:v>100000</x:v>
      </x:c>
      <x:c r="I18" s="78" t="n">
        <x:v>0</x:v>
      </x:c>
      <x:c r="J18" s="78" t="n">
        <x:f>J17+G18</x:f>
        <x:v>19770</x:v>
      </x:c>
      <x:c r="K18" s="78" t="n">
        <x:f>K17+H18</x:f>
        <x:v>230900</x:v>
      </x:c>
      <x:c r="L18" s="79" t="str">
        <x:v>冰霜攻击Lv5：250码/减速25%
寒冰尖塔Lv5：16%几率触发大范围暴风雪；每秒100%攻击力伤害并减速</x:v>
      </x:c>
      <x:c r="M18" s="79" t="str">
        <x:v>冰霜路线</x:v>
      </x:c>
      <x:c r="N18" s="79" t="str"/>
    </x:row>
    <x:row r="19">
      <x:c r="A19" s="77" t="n">
        <x:v>15</x:v>
      </x:c>
      <x:c r="B19" s="77" t="str">
        <x:v>寒冰尖塔</x:v>
      </x:c>
      <x:c r="C19" s="77" t="str">
        <x:v>R</x:v>
      </x:c>
      <x:c r="D19" s="77" t="str">
        <x:v>寒冰尖塔LV5</x:v>
      </x:c>
      <x:c r="E19" s="78" t="n">
        <x:v>108101</x:v>
      </x:c>
      <x:c r="F19" s="78" t="n">
        <x:f>E19-E18</x:f>
        <x:v>33000</x:v>
      </x:c>
      <x:c r="G19" s="78" t="n">
        <x:v>20000</x:v>
      </x:c>
      <x:c r="H19" s="78" t="n">
        <x:v>100000</x:v>
      </x:c>
      <x:c r="I19" s="78" t="n">
        <x:v>0</x:v>
      </x:c>
      <x:c r="J19" s="78" t="n">
        <x:f>J18+G19</x:f>
        <x:v>39770</x:v>
      </x:c>
      <x:c r="K19" s="78" t="n">
        <x:f>K18+H19</x:f>
        <x:v>330900</x:v>
      </x:c>
      <x:c r="L19" s="79" t="str">
        <x:v>冰霜攻击Lv5：250码/减速25%
寒冰尖塔Lv5：16%几率触发大范围暴风雪；每秒100%攻击力伤害并减速</x:v>
      </x:c>
      <x:c r="M19" s="79" t="str">
        <x:v>冰霜路线</x:v>
      </x:c>
      <x:c r="N19" s="79" t="str"/>
    </x:row>
    <x:row r="20">
      <x:c r="A20" s="83" t="n">
        <x:v>16</x:v>
      </x:c>
      <x:c r="B20" s="83" t="str">
        <x:v>极地方尖碑</x:v>
      </x:c>
      <x:c r="C20" s="83" t="str">
        <x:v>SR</x:v>
      </x:c>
      <x:c r="D20" s="83" t="str">
        <x:v>极地方尖碑LV1</x:v>
      </x:c>
      <x:c r="E20" s="84" t="n">
        <x:v>308101</x:v>
      </x:c>
      <x:c r="F20" s="84" t="n">
        <x:f>E20-E19</x:f>
        <x:v>200000</x:v>
      </x:c>
      <x:c r="G20" s="84" t="n">
        <x:v>30000</x:v>
      </x:c>
      <x:c r="H20" s="84" t="n">
        <x:v>200000</x:v>
      </x:c>
      <x:c r="I20" s="84" t="n">
        <x:v>2</x:v>
      </x:c>
      <x:c r="J20" s="84" t="n">
        <x:f>J19+G20</x:f>
        <x:v>69770</x:v>
      </x:c>
      <x:c r="K20" s="84" t="n">
        <x:f>K19+H20</x:f>
        <x:v>530900</x:v>
      </x:c>
      <x:c r="L20" s="85" t="str">
        <x:v>冰霜攻击Lv5：250码范围攻击、减速25%
寒冰尖塔Lv5：16%几率触发暴风雪，每秒100%攻击力伤害并减速
极地方尖碑Lv1：半径400码范围敌人攻击速度降低20%</x:v>
      </x:c>
      <x:c r="M20" s="85" t="str">
        <x:v>冰霜路线</x:v>
      </x:c>
      <x:c r="N20" s="85" t="str">
        <x:v>SR阶段转职；人口+2</x:v>
      </x:c>
    </x:row>
    <x:row r="21">
      <x:c r="A21" s="83" t="n">
        <x:v>17</x:v>
      </x:c>
      <x:c r="B21" s="83" t="str">
        <x:v>极地方尖碑</x:v>
      </x:c>
      <x:c r="C21" s="83" t="str">
        <x:v>SR</x:v>
      </x:c>
      <x:c r="D21" s="83" t="str">
        <x:v>极地方尖碑LV2</x:v>
      </x:c>
      <x:c r="E21" s="84" t="n">
        <x:v>508101</x:v>
      </x:c>
      <x:c r="F21" s="84" t="n">
        <x:f>E21-E20</x:f>
        <x:v>200000</x:v>
      </x:c>
      <x:c r="G21" s="84" t="n">
        <x:v>60000</x:v>
      </x:c>
      <x:c r="H21" s="84" t="n">
        <x:v>200000</x:v>
      </x:c>
      <x:c r="I21" s="84" t="n">
        <x:v>0</x:v>
      </x:c>
      <x:c r="J21" s="84" t="n">
        <x:f>J20+G21</x:f>
        <x:v>129770</x:v>
      </x:c>
      <x:c r="K21" s="84" t="n">
        <x:f>K20+H21</x:f>
        <x:v>730900</x:v>
      </x:c>
      <x:c r="L21" s="85" t="str">
        <x:v>冰霜攻击Lv5：250码范围攻击、减速25%
寒冰尖塔Lv5：16%几率触发暴风雪，每秒100%攻击力伤害并减速
极地方尖碑Lv1：半径400码范围敌人攻击速度降低20%</x:v>
      </x:c>
      <x:c r="M21" s="85" t="str">
        <x:v>冰霜路线</x:v>
      </x:c>
      <x:c r="N21" s="85" t="str"/>
    </x:row>
    <x:row r="22">
      <x:c r="A22" s="83" t="n">
        <x:v>18</x:v>
      </x:c>
      <x:c r="B22" s="83" t="str">
        <x:v>极地方尖碑</x:v>
      </x:c>
      <x:c r="C22" s="83" t="str">
        <x:v>SR</x:v>
      </x:c>
      <x:c r="D22" s="83" t="str">
        <x:v>极地方尖碑LV3</x:v>
      </x:c>
      <x:c r="E22" s="84" t="n">
        <x:v>808101</x:v>
      </x:c>
      <x:c r="F22" s="84" t="n">
        <x:f>E22-E21</x:f>
        <x:v>300000</x:v>
      </x:c>
      <x:c r="G22" s="84" t="n">
        <x:v>90000</x:v>
      </x:c>
      <x:c r="H22" s="84" t="n">
        <x:v>200000</x:v>
      </x:c>
      <x:c r="I22" s="84" t="n">
        <x:v>0</x:v>
      </x:c>
      <x:c r="J22" s="84" t="n">
        <x:f>J21+G22</x:f>
        <x:v>219770</x:v>
      </x:c>
      <x:c r="K22" s="84" t="n">
        <x:f>K21+H22</x:f>
        <x:v>930900</x:v>
      </x:c>
      <x:c r="L22" s="85" t="str">
        <x:v>冰霜攻击Lv5：250码范围攻击、减速25%
寒冰尖塔Lv5：16%几率触发暴风雪，每秒100%攻击力伤害并减速
极地方尖碑Lv1：半径400码范围敌人攻击速度降低20%</x:v>
      </x:c>
      <x:c r="M22" s="85" t="str">
        <x:v>冰霜路线</x:v>
      </x:c>
      <x:c r="N22" s="85" t="str"/>
    </x:row>
    <x:row r="23">
      <x:c r="A23" s="83" t="n">
        <x:v>19</x:v>
      </x:c>
      <x:c r="B23" s="83" t="str">
        <x:v>极地方尖碑</x:v>
      </x:c>
      <x:c r="C23" s="83" t="str">
        <x:v>SR</x:v>
      </x:c>
      <x:c r="D23" s="83" t="str">
        <x:v>极地方尖碑LV4</x:v>
      </x:c>
      <x:c r="E23" s="84" t="n">
        <x:v>1008101</x:v>
      </x:c>
      <x:c r="F23" s="84" t="n">
        <x:f>E23-E22</x:f>
        <x:v>200000</x:v>
      </x:c>
      <x:c r="G23" s="84" t="n">
        <x:v>120000</x:v>
      </x:c>
      <x:c r="H23" s="84" t="n">
        <x:v>200000</x:v>
      </x:c>
      <x:c r="I23" s="84" t="n">
        <x:v>0</x:v>
      </x:c>
      <x:c r="J23" s="84" t="n">
        <x:f>J22+G23</x:f>
        <x:v>339770</x:v>
      </x:c>
      <x:c r="K23" s="84" t="n">
        <x:f>K22+H23</x:f>
        <x:v>1130900</x:v>
      </x:c>
      <x:c r="L23" s="85" t="str">
        <x:v>冰霜攻击Lv5：250码范围攻击、减速25%
寒冰尖塔Lv5：16%几率触发暴风雪，每秒100%攻击力伤害并减速
极地方尖碑Lv1：半径400码范围敌人攻击速度降低20%</x:v>
      </x:c>
      <x:c r="M23" s="85" t="str">
        <x:v>冰霜路线</x:v>
      </x:c>
      <x:c r="N23" s="85" t="str"/>
    </x:row>
    <x:row r="24">
      <x:c r="A24" s="83" t="n">
        <x:v>20</x:v>
      </x:c>
      <x:c r="B24" s="83" t="str">
        <x:v>极地方尖碑</x:v>
      </x:c>
      <x:c r="C24" s="83" t="str">
        <x:v>SR</x:v>
      </x:c>
      <x:c r="D24" s="83" t="str">
        <x:v>极地方尖碑LV5</x:v>
      </x:c>
      <x:c r="E24" s="84" t="n">
        <x:v>1508101</x:v>
      </x:c>
      <x:c r="F24" s="84" t="n">
        <x:f>E24-E23</x:f>
        <x:v>500000</x:v>
      </x:c>
      <x:c r="G24" s="84" t="n">
        <x:v>150000</x:v>
      </x:c>
      <x:c r="H24" s="84" t="n">
        <x:v>200000</x:v>
      </x:c>
      <x:c r="I24" s="84" t="n">
        <x:v>0</x:v>
      </x:c>
      <x:c r="J24" s="84" t="n">
        <x:f>J23+G24</x:f>
        <x:v>489770</x:v>
      </x:c>
      <x:c r="K24" s="84" t="n">
        <x:f>K23+H24</x:f>
        <x:v>1330900</x:v>
      </x:c>
      <x:c r="L24" s="85" t="str">
        <x:v>冰霜攻击Lv5：250码范围攻击、减速25%
寒冰尖塔Lv5：16%几率触发暴风雪，每秒100%攻击力伤害并减速
极地方尖碑Lv1：半径400码范围敌人攻击速度降低20%</x:v>
      </x:c>
      <x:c r="M24" s="85" t="str">
        <x:v>冰霜路线</x:v>
      </x:c>
      <x:c r="N24" s="85" t="str"/>
    </x:row>
    <x:row r="25">
      <x:c r="A25" s="83" t="n">
        <x:v>21</x:v>
      </x:c>
      <x:c r="B25" s="83" t="str">
        <x:v>极地方尖碑</x:v>
      </x:c>
      <x:c r="C25" s="83" t="str">
        <x:v>SSR</x:v>
      </x:c>
      <x:c r="D25" s="83" t="str">
        <x:v>极地方尖碑LV6</x:v>
      </x:c>
      <x:c r="E25" s="84" t="n">
        <x:v>2008101</x:v>
      </x:c>
      <x:c r="F25" s="84" t="n">
        <x:f>E25-E24</x:f>
        <x:v>500000</x:v>
      </x:c>
      <x:c r="G25" s="84" t="n">
        <x:v>200000</x:v>
      </x:c>
      <x:c r="H25" s="84" t="n">
        <x:v>400000</x:v>
      </x:c>
      <x:c r="I25" s="84" t="n">
        <x:v>0</x:v>
      </x:c>
      <x:c r="J25" s="84" t="n">
        <x:f>J24+G25</x:f>
        <x:v>689770</x:v>
      </x:c>
      <x:c r="K25" s="84" t="n">
        <x:f>K24+H25</x:f>
        <x:v>1730900</x:v>
      </x:c>
      <x:c r="L25" s="85" t="str">
        <x:v>冰霜攻击Lv5：250码范围攻击、减速25%
寒冰尖塔Lv5：16%几率触发暴风雪，每秒100%攻击力伤害并减速
极地方尖碑Lv1：半径400码范围敌人攻击速度降低20%</x:v>
      </x:c>
      <x:c r="M25" s="85" t="str">
        <x:v>冰霜路线</x:v>
      </x:c>
      <x:c r="N25" s="85" t="str">
        <x:v>最终塔LV6开始稀有度前缀变为SSR</x:v>
      </x:c>
    </x:row>
    <x:row r="26">
      <x:c r="A26" s="83" t="n">
        <x:v>22</x:v>
      </x:c>
      <x:c r="B26" s="83" t="str">
        <x:v>极地方尖碑</x:v>
      </x:c>
      <x:c r="C26" s="83" t="str">
        <x:v>SSR</x:v>
      </x:c>
      <x:c r="D26" s="83" t="str">
        <x:v>极地方尖碑LV7</x:v>
      </x:c>
      <x:c r="E26" s="84" t="n">
        <x:v>3008101</x:v>
      </x:c>
      <x:c r="F26" s="84" t="n">
        <x:f>E26-E25</x:f>
        <x:v>1000000</x:v>
      </x:c>
      <x:c r="G26" s="84" t="n">
        <x:v>250000</x:v>
      </x:c>
      <x:c r="H26" s="84" t="n">
        <x:v>500000</x:v>
      </x:c>
      <x:c r="I26" s="84" t="n">
        <x:v>0</x:v>
      </x:c>
      <x:c r="J26" s="84" t="n">
        <x:f>J25+G26</x:f>
        <x:v>939770</x:v>
      </x:c>
      <x:c r="K26" s="84" t="n">
        <x:f>K25+H26</x:f>
        <x:v>2230900</x:v>
      </x:c>
      <x:c r="L26" s="85" t="str">
        <x:v>冰霜攻击Lv5：250码范围攻击、减速25%
寒冰尖塔Lv5：16%几率触发暴风雪，每秒100%攻击力伤害并减速
极地方尖碑Lv1：半径400码范围敌人攻击速度降低20%</x:v>
      </x:c>
      <x:c r="M26" s="85" t="str">
        <x:v>冰霜路线</x:v>
      </x:c>
      <x:c r="N26" s="85" t="str"/>
    </x:row>
    <x:row r="27">
      <x:c r="A27" s="83" t="n">
        <x:v>23</x:v>
      </x:c>
      <x:c r="B27" s="83" t="str">
        <x:v>极地方尖碑</x:v>
      </x:c>
      <x:c r="C27" s="83" t="str">
        <x:v>SSR</x:v>
      </x:c>
      <x:c r="D27" s="83" t="str">
        <x:v>极地方尖碑LV8</x:v>
      </x:c>
      <x:c r="E27" s="84" t="n">
        <x:v>4008101</x:v>
      </x:c>
      <x:c r="F27" s="84" t="n">
        <x:f>E27-E26</x:f>
        <x:v>1000000</x:v>
      </x:c>
      <x:c r="G27" s="84" t="n">
        <x:v>300000</x:v>
      </x:c>
      <x:c r="H27" s="84" t="n">
        <x:v>600000</x:v>
      </x:c>
      <x:c r="I27" s="84" t="n">
        <x:v>0</x:v>
      </x:c>
      <x:c r="J27" s="84" t="n">
        <x:f>J26+G27</x:f>
        <x:v>1239770</x:v>
      </x:c>
      <x:c r="K27" s="84" t="n">
        <x:f>K26+H27</x:f>
        <x:v>2830900</x:v>
      </x:c>
      <x:c r="L27" s="85" t="str">
        <x:v>冰霜攻击Lv5：250码范围攻击、减速25%
寒冰尖塔Lv5：16%几率触发暴风雪，每秒100%攻击力伤害并减速
极地方尖碑Lv1：半径400码范围敌人攻击速度降低20%</x:v>
      </x:c>
      <x:c r="M27" s="85" t="str">
        <x:v>冰霜路线</x:v>
      </x:c>
      <x:c r="N27" s="85" t="str"/>
    </x:row>
    <x:row r="28">
      <x:c r="A28" s="83" t="n">
        <x:v>24</x:v>
      </x:c>
      <x:c r="B28" s="83" t="str">
        <x:v>极地方尖碑</x:v>
      </x:c>
      <x:c r="C28" s="83" t="str">
        <x:v>SSR</x:v>
      </x:c>
      <x:c r="D28" s="83" t="str">
        <x:v>极地方尖碑LV9</x:v>
      </x:c>
      <x:c r="E28" s="84" t="n">
        <x:v>5008101</x:v>
      </x:c>
      <x:c r="F28" s="84" t="n">
        <x:f>E28-E27</x:f>
        <x:v>1000000</x:v>
      </x:c>
      <x:c r="G28" s="84" t="n">
        <x:v>350000</x:v>
      </x:c>
      <x:c r="H28" s="84" t="n">
        <x:v>700000</x:v>
      </x:c>
      <x:c r="I28" s="84" t="n">
        <x:v>0</x:v>
      </x:c>
      <x:c r="J28" s="84" t="n">
        <x:f>J27+G28</x:f>
        <x:v>1589770</x:v>
      </x:c>
      <x:c r="K28" s="84" t="n">
        <x:f>K27+H28</x:f>
        <x:v>3530900</x:v>
      </x:c>
      <x:c r="L28" s="85" t="str">
        <x:v>冰霜攻击Lv5：250码范围攻击、减速25%
寒冰尖塔Lv5：16%几率触发暴风雪，每秒100%攻击力伤害并减速
极地方尖碑Lv1：半径400码范围敌人攻击速度降低20%</x:v>
      </x:c>
      <x:c r="M28" s="85" t="str">
        <x:v>冰霜路线</x:v>
      </x:c>
      <x:c r="N28" s="85" t="str"/>
    </x:row>
    <x:row r="29">
      <x:c r="A29" s="83" t="n">
        <x:v>25</x:v>
      </x:c>
      <x:c r="B29" s="83" t="str">
        <x:v>极地方尖碑</x:v>
      </x:c>
      <x:c r="C29" s="83" t="str">
        <x:v>SSR</x:v>
      </x:c>
      <x:c r="D29" s="83" t="str">
        <x:v>极地方尖碑LV10</x:v>
      </x:c>
      <x:c r="E29" s="84" t="n">
        <x:v>6008101</x:v>
      </x:c>
      <x:c r="F29" s="84" t="n">
        <x:f>E29-E28</x:f>
        <x:v>1000000</x:v>
      </x:c>
      <x:c r="G29" s="84" t="n">
        <x:v>400000</x:v>
      </x:c>
      <x:c r="H29" s="84" t="n">
        <x:v>800000</x:v>
      </x:c>
      <x:c r="I29" s="84" t="n">
        <x:v>0</x:v>
      </x:c>
      <x:c r="J29" s="84" t="n">
        <x:f>J28+G29</x:f>
        <x:v>1989770</x:v>
      </x:c>
      <x:c r="K29" s="84" t="n">
        <x:f>K28+H29</x:f>
        <x:v>4330900</x:v>
      </x:c>
      <x:c r="L29" s="85" t="str">
        <x:v>冰霜攻击Lv5：250码范围攻击、减速25%
寒冰尖塔Lv5：16%几率触发暴风雪，每秒100%攻击力伤害并减速
极地方尖碑Lv1：半径400码范围敌人攻击速度降低20%</x:v>
      </x:c>
      <x:c r="M29" s="85" t="str">
        <x:v>冰霜路线</x:v>
      </x:c>
      <x:c r="N29" s="85" t="str"/>
    </x:row>
    <x:row r="31" ht="32" customHeight="1">
      <x:c r="A31" s="93" t="str">
        <x:v>本路线累计成本（箭塔1-1 → 最终塔LV10）</x:v>
      </x:c>
      <x:c r="B31" s="93"/>
      <x:c r="C31" s="93"/>
      <x:c r="D31" s="93"/>
      <x:c r="E31" s="93"/>
      <x:c r="F31" s="93"/>
      <x:c r="G31" s="99" t="n">
        <x:f>SUM(G5:G29)</x:f>
        <x:v>1989770</x:v>
      </x:c>
      <x:c r="H31" s="99" t="n">
        <x:f>SUM(H5:H29)</x:f>
        <x:v>4330900</x:v>
      </x:c>
      <x:c r="I31" s="99" t="n">
        <x:f>SUM(I5:I29)</x:f>
        <x:v>4</x:v>
      </x:c>
      <x:c r="J31" s="93" t="str">
        <x:v>不含主城、前置建筑、工人和其他成长路线成本</x:v>
      </x:c>
      <x:c r="K31" s="93"/>
      <x:c r="L31" s="93"/>
      <x:c r="M31" s="93"/>
      <x:c r="N31" s="93"/>
    </x:row>
    <x:row r="34" ht="28" customHeight="1">
      <x:c r="A34" s="183"/>
      <x:c r="B34" s="183"/>
      <x:c r="C34" s="183"/>
      <x:c r="D34" s="183"/>
      <x:c r="E34" s="183"/>
      <x:c r="F34" s="183"/>
      <x:c r="G34" s="183"/>
    </x:row>
    <x:row r="35">
      <x:c r="A35" s="111"/>
      <x:c r="B35" s="111"/>
      <x:c r="C35" s="111"/>
      <x:c r="D35" s="111"/>
      <x:c r="E35" s="111"/>
      <x:c r="F35" s="111"/>
      <x:c r="G35" s="111"/>
    </x:row>
    <x:row r="36">
      <x:c r="A36" s="31"/>
      <x:c r="B36" s="31"/>
      <x:c r="C36" s="31"/>
      <x:c r="D36" s="31"/>
      <x:c r="E36" s="31"/>
      <x:c r="F36" s="31"/>
      <x:c r="G36" s="31"/>
    </x:row>
    <x:row r="37">
      <x:c r="A37" s="33"/>
      <x:c r="B37" s="33"/>
      <x:c r="C37" s="33"/>
      <x:c r="D37" s="33"/>
      <x:c r="E37" s="33"/>
      <x:c r="F37" s="33"/>
      <x:c r="G37" s="33"/>
    </x:row>
    <x:row r="38">
      <x:c r="A38" s="31"/>
      <x:c r="B38" s="31"/>
      <x:c r="C38" s="31"/>
      <x:c r="D38" s="31"/>
      <x:c r="E38" s="31"/>
      <x:c r="F38" s="31"/>
      <x:c r="G38" s="31"/>
    </x:row>
    <x:row r="39">
      <x:c r="A39" s="33"/>
      <x:c r="B39" s="33"/>
      <x:c r="C39" s="33"/>
      <x:c r="D39" s="33"/>
      <x:c r="E39" s="33"/>
      <x:c r="F39" s="33"/>
      <x:c r="G39" s="33"/>
    </x:row>
    <x:row r="40">
      <x:c r="A40" s="31"/>
      <x:c r="B40" s="31"/>
      <x:c r="C40" s="31"/>
      <x:c r="D40" s="31"/>
      <x:c r="E40" s="31"/>
      <x:c r="F40" s="31"/>
      <x:c r="G40" s="31"/>
    </x:row>
  </x:sheetData>
  <x:mergeCells>
    <x:mergeCell ref="A1:N1"/>
    <x:mergeCell ref="A2:N2"/>
    <x:mergeCell ref="A31:F31"/>
    <x:mergeCell ref="J31:N31"/>
    <x:mergeCell ref="A34:G34"/>
    <x:mergeCell ref="P4:V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25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6" hidden="0" customWidth="1"/>
    <x:col min="11" max="11" width="16" hidden="0" customWidth="1"/>
    <x:col min="12" max="12" width="58" hidden="0" customWidth="1"/>
    <x:col min="13" max="13" width="16" hidden="0" customWidth="1"/>
    <x:col min="14" max="14" width="38" hidden="0" customWidth="1"/>
    <x:col min="16" max="16" width="15" hidden="0" customWidth="1"/>
    <x:col min="17" max="17" width="20" hidden="0" customWidth="1"/>
    <x:col min="18" max="18" width="16" hidden="0" customWidth="1"/>
    <x:col min="19" max="19" width="18" hidden="0" customWidth="1"/>
    <x:col min="20" max="20" width="65" hidden="0" customWidth="1"/>
    <x:col min="21" max="21" width="40" hidden="0" customWidth="1"/>
    <x:col min="22" max="22" width="44" hidden="0" customWidth="1"/>
  </x:cols>
  <x:sheetData>
    <x:row r="1" ht="32" customHeight="1">
      <x:c r="A1" s="190" t="str">
        <x:v>箭塔 → 防空炮 → 防空火炮 → 空域霸主</x:v>
      </x:c>
      <x:c r="B1" s="190"/>
      <x:c r="C1" s="190"/>
      <x:c r="D1" s="190"/>
      <x:c r="E1" s="190"/>
      <x:c r="F1" s="190"/>
      <x:c r="G1" s="190"/>
      <x:c r="H1" s="190"/>
      <x:c r="I1" s="190"/>
      <x:c r="J1" s="190"/>
      <x:c r="K1" s="190"/>
      <x:c r="L1" s="190"/>
      <x:c r="M1" s="190"/>
      <x:c r="N1" s="190"/>
    </x:row>
    <x:row r="2" ht="42" customHeight="1">
      <x:c r="A2" s="55" t="str">
        <x:v>来源：bandicam 2026-07-19 13-06-14-620_20260719_14204603.mp4；时间范围：约504秒—600秒。攻击力为升级完成后的首个稳定显示值；忽略已知每秒+4攻击力成长。金币/木材/人口均按“升到本级”记录。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</x:row>
    <x:row r="4" ht="30" customHeight="1">
      <x:c r="A4" s="20" t="str">
        <x:v>序号</x:v>
      </x:c>
      <x:c r="B4" s="20" t="str">
        <x:v>阶段</x:v>
      </x:c>
      <x:c r="C4" s="20" t="str">
        <x:v>稀有度</x:v>
      </x:c>
      <x:c r="D4" s="20" t="str">
        <x:v>等级/名称</x:v>
      </x:c>
      <x:c r="E4" s="20" t="str">
        <x:v>录像攻击力</x:v>
      </x:c>
      <x:c r="F4" s="20" t="str">
        <x:v>较上一级提升</x:v>
      </x:c>
      <x:c r="G4" s="20" t="str">
        <x:v>升到本级金币</x:v>
      </x:c>
      <x:c r="H4" s="20" t="str">
        <x:v>升到本级木材</x:v>
      </x:c>
      <x:c r="I4" s="20" t="str">
        <x:v>人口增量</x:v>
      </x:c>
      <x:c r="J4" s="20" t="str">
        <x:v>累计金币</x:v>
      </x:c>
      <x:c r="K4" s="20" t="str">
        <x:v>累计木材</x:v>
      </x:c>
      <x:c r="L4" s="20" t="str">
        <x:v>当前特殊技能</x:v>
      </x:c>
      <x:c r="M4" s="20" t="str">
        <x:v>录像来源</x:v>
      </x:c>
      <x:c r="N4" s="20" t="str">
        <x:v>备注</x:v>
      </x:c>
      <x:c r="P4" s="239" t="str">
        <x:v>特殊技能文本与成长规律</x:v>
      </x:c>
      <x:c r="Q4" s="239"/>
      <x:c r="R4" s="239"/>
      <x:c r="S4" s="239"/>
      <x:c r="T4" s="239"/>
      <x:c r="U4" s="239"/>
      <x:c r="V4" s="239"/>
    </x:row>
    <x:row r="5" ht="30" customHeight="1">
      <x:c r="A5" s="65" t="n">
        <x:v>1</x:v>
      </x:c>
      <x:c r="B5" s="65" t="str">
        <x:v>箭塔</x:v>
      </x:c>
      <x:c r="C5" s="65" t="str"/>
      <x:c r="D5" s="65" t="str">
        <x:v>箭塔1-1</x:v>
      </x:c>
      <x:c r="E5" s="66" t="n">
        <x:v>172</x:v>
      </x:c>
      <x:c r="F5" s="66" t="str">
        <x:v>—</x:v>
      </x:c>
      <x:c r="G5" s="66" t="n">
        <x:v>0</x:v>
      </x:c>
      <x:c r="H5" s="66" t="n">
        <x:v>50</x:v>
      </x:c>
      <x:c r="I5" s="66" t="n">
        <x:v>0</x:v>
      </x:c>
      <x:c r="J5" s="66" t="n">
        <x:f>G5</x:f>
        <x:v>0</x:v>
      </x:c>
      <x:c r="K5" s="66" t="n">
        <x:f>H5</x:f>
        <x:v>50</x:v>
      </x:c>
      <x:c r="L5" s="67" t="str">
        <x:v>无特殊技能展示</x:v>
      </x:c>
      <x:c r="M5" s="67" t="str">
        <x:v>防空路线</x:v>
      </x:c>
      <x:c r="N5" s="67" t="str">
        <x:v>初建成本：木50</x:v>
      </x:c>
      <x:c r="P5" s="210" t="str">
        <x:v>阶段</x:v>
      </x:c>
      <x:c r="Q5" s="210" t="str">
        <x:v>技能名称</x:v>
      </x:c>
      <x:c r="R5" s="210" t="str">
        <x:v>文本来源</x:v>
      </x:c>
      <x:c r="S5" s="210" t="str">
        <x:v>等级/数值</x:v>
      </x:c>
      <x:c r="T5" s="210" t="str">
        <x:v>文本描述</x:v>
      </x:c>
      <x:c r="U5" s="210" t="str">
        <x:v>升级规律</x:v>
      </x:c>
      <x:c r="V5" s="210" t="str">
        <x:v>备注</x:v>
      </x:c>
    </x:row>
    <x:row r="6">
      <x:c r="A6" s="65" t="n">
        <x:v>2</x:v>
      </x:c>
      <x:c r="B6" s="65" t="str">
        <x:v>箭塔</x:v>
      </x:c>
      <x:c r="C6" s="65" t="str"/>
      <x:c r="D6" s="65" t="str">
        <x:v>箭塔1-2</x:v>
      </x:c>
      <x:c r="E6" s="66" t="n">
        <x:v>251</x:v>
      </x:c>
      <x:c r="F6" s="66" t="n">
        <x:f>E6-E5</x:f>
        <x:v>79</x:v>
      </x:c>
      <x:c r="G6" s="66" t="n">
        <x:v>0</x:v>
      </x:c>
      <x:c r="H6" s="66" t="n">
        <x:v>100</x:v>
      </x:c>
      <x:c r="I6" s="66" t="n">
        <x:v>0</x:v>
      </x:c>
      <x:c r="J6" s="66" t="n">
        <x:f>J5+G6</x:f>
        <x:v>0</x:v>
      </x:c>
      <x:c r="K6" s="66" t="n">
        <x:f>K5+H6</x:f>
        <x:v>150</x:v>
      </x:c>
      <x:c r="L6" s="67" t="str">
        <x:v>无特殊技能展示</x:v>
      </x:c>
      <x:c r="M6" s="67" t="str">
        <x:v>防空路线</x:v>
      </x:c>
      <x:c r="N6" s="67" t="str">
        <x:v>箭塔1-1→1-2实录差值为+79</x:v>
      </x:c>
      <x:c r="P6" s="214" t="str">
        <x:v>N阶段</x:v>
      </x:c>
      <x:c r="Q6" s="214" t="str">
        <x:v>防空炮</x:v>
      </x:c>
      <x:c r="R6" s="214" t="str">
        <x:v>转职按钮</x:v>
      </x:c>
      <x:c r="S6" s="214" t="str">
        <x:v>基础说明</x:v>
      </x:c>
      <x:c r="T6" s="214" t="str">
        <x:v>对空中单位+90%伤害，基础对同一个目标射出3枚飞弹，每次升级数量+1</x:v>
      </x:c>
      <x:c r="U6" s="214" t="str">
        <x:v>建成防空炮LV1后实际技能直接显示Lv2、4枚</x:v>
      </x:c>
      <x:c r="V6" s="214" t="str">
        <x:v>按钮与实际存在一级偏移</x:v>
      </x:c>
    </x:row>
    <x:row r="7">
      <x:c r="A7" s="65" t="n">
        <x:v>3</x:v>
      </x:c>
      <x:c r="B7" s="65" t="str">
        <x:v>箭塔</x:v>
      </x:c>
      <x:c r="C7" s="65" t="str"/>
      <x:c r="D7" s="65" t="str">
        <x:v>箭塔1-3</x:v>
      </x:c>
      <x:c r="E7" s="66" t="n">
        <x:v>301</x:v>
      </x:c>
      <x:c r="F7" s="66" t="n">
        <x:f>E7-E6</x:f>
        <x:v>50</x:v>
      </x:c>
      <x:c r="G7" s="66" t="n">
        <x:v>0</x:v>
      </x:c>
      <x:c r="H7" s="66" t="n">
        <x:v>200</x:v>
      </x:c>
      <x:c r="I7" s="66" t="n">
        <x:v>0</x:v>
      </x:c>
      <x:c r="J7" s="66" t="n">
        <x:f>J6+G7</x:f>
        <x:v>0</x:v>
      </x:c>
      <x:c r="K7" s="66" t="n">
        <x:f>K6+H7</x:f>
        <x:v>350</x:v>
      </x:c>
      <x:c r="L7" s="67" t="str">
        <x:v>无特殊技能展示</x:v>
      </x:c>
      <x:c r="M7" s="67" t="str">
        <x:v>防空路线</x:v>
      </x:c>
      <x:c r="N7" s="67" t="str"/>
      <x:c r="P7" s="215" t="str">
        <x:v>N阶段</x:v>
      </x:c>
      <x:c r="Q7" s="215" t="str">
        <x:v>防空炮</x:v>
      </x:c>
      <x:c r="R7" s="215" t="str">
        <x:v>实际技能</x:v>
      </x:c>
      <x:c r="S7" s="215" t="str">
        <x:v>Lv2→Lv5</x:v>
      </x:c>
      <x:c r="T7" s="215" t="str">
        <x:v>攻击空中敌人时对同一个目标射出4/5/6/7枚飞弹；对空中单位+90%伤害</x:v>
      </x:c>
      <x:c r="U7" s="215" t="str">
        <x:v>每次升级数量+1</x:v>
      </x:c>
      <x:c r="V7" s="215" t="str">
        <x:v>防空炮LV4达到Lv5，LV5保持</x:v>
      </x:c>
    </x:row>
    <x:row r="8">
      <x:c r="A8" s="65" t="n">
        <x:v>4</x:v>
      </x:c>
      <x:c r="B8" s="65" t="str">
        <x:v>箭塔</x:v>
      </x:c>
      <x:c r="C8" s="65" t="str"/>
      <x:c r="D8" s="65" t="str">
        <x:v>箭塔1-4</x:v>
      </x:c>
      <x:c r="E8" s="66" t="n">
        <x:v>401</x:v>
      </x:c>
      <x:c r="F8" s="66" t="n">
        <x:f>E8-E7</x:f>
        <x:v>100</x:v>
      </x:c>
      <x:c r="G8" s="66" t="n">
        <x:v>0</x:v>
      </x:c>
      <x:c r="H8" s="66" t="n">
        <x:v>250</x:v>
      </x:c>
      <x:c r="I8" s="66" t="n">
        <x:v>0</x:v>
      </x:c>
      <x:c r="J8" s="66" t="n">
        <x:f>J7+G8</x:f>
        <x:v>0</x:v>
      </x:c>
      <x:c r="K8" s="66" t="n">
        <x:f>K7+H8</x:f>
        <x:v>600</x:v>
      </x:c>
      <x:c r="L8" s="67" t="str">
        <x:v>无特殊技能展示</x:v>
      </x:c>
      <x:c r="M8" s="67" t="str">
        <x:v>防空路线</x:v>
      </x:c>
      <x:c r="N8" s="67" t="str"/>
      <x:c r="P8" s="214" t="str">
        <x:v>R阶段</x:v>
      </x:c>
      <x:c r="Q8" s="214" t="str">
        <x:v>防空火炮</x:v>
      </x:c>
      <x:c r="R8" s="214" t="str">
        <x:v>转职按钮</x:v>
      </x:c>
      <x:c r="S8" s="214" t="str">
        <x:v>基础说明</x:v>
      </x:c>
      <x:c r="T8" s="214" t="str">
        <x:v>攻击有8%几率发射拖拽网将其拉入地面</x:v>
      </x:c>
      <x:c r="U8" s="214" t="str">
        <x:v>建成防空火炮LV1后实际技能直接显示Lv2、10%</x:v>
      </x:c>
      <x:c r="V8" s="214" t="str">
        <x:v>按钮与实际存在一级偏移</x:v>
      </x:c>
    </x:row>
    <x:row r="9">
      <x:c r="A9" s="65" t="n">
        <x:v>5</x:v>
      </x:c>
      <x:c r="B9" s="65" t="str">
        <x:v>箭塔</x:v>
      </x:c>
      <x:c r="C9" s="65" t="str"/>
      <x:c r="D9" s="65" t="str">
        <x:v>箭塔1-5</x:v>
      </x:c>
      <x:c r="E9" s="66" t="n">
        <x:v>501</x:v>
      </x:c>
      <x:c r="F9" s="66" t="n">
        <x:f>E9-E8</x:f>
        <x:v>100</x:v>
      </x:c>
      <x:c r="G9" s="66" t="n">
        <x:v>0</x:v>
      </x:c>
      <x:c r="H9" s="66" t="n">
        <x:v>300</x:v>
      </x:c>
      <x:c r="I9" s="66" t="n">
        <x:v>0</x:v>
      </x:c>
      <x:c r="J9" s="66" t="n">
        <x:f>J8+G9</x:f>
        <x:v>0</x:v>
      </x:c>
      <x:c r="K9" s="66" t="n">
        <x:f>K8+H9</x:f>
        <x:v>900</x:v>
      </x:c>
      <x:c r="L9" s="67" t="str">
        <x:v>无特殊技能展示</x:v>
      </x:c>
      <x:c r="M9" s="67" t="str">
        <x:v>防空路线</x:v>
      </x:c>
      <x:c r="N9" s="67" t="str"/>
      <x:c r="P9" s="215" t="str">
        <x:v>R阶段</x:v>
      </x:c>
      <x:c r="Q9" s="215" t="str">
        <x:v>防空火炮</x:v>
      </x:c>
      <x:c r="R9" s="215" t="str">
        <x:v>实际技能</x:v>
      </x:c>
      <x:c r="S9" s="215" t="str">
        <x:v>Lv2→Lv5</x:v>
      </x:c>
      <x:c r="T9" s="215" t="str">
        <x:v>攻击有10%/12%/14%/16%几率发射拖拽网将其拉入地面</x:v>
      </x:c>
      <x:c r="U9" s="215" t="str">
        <x:v>每次升级提高2%触发概率</x:v>
      </x:c>
      <x:c r="V9" s="215" t="str">
        <x:v>防空火炮LV4达到Lv5，LV5保持</x:v>
      </x:c>
    </x:row>
    <x:row r="10">
      <x:c r="A10" s="71" t="n">
        <x:v>6</x:v>
      </x:c>
      <x:c r="B10" s="71" t="str">
        <x:v>防空炮</x:v>
      </x:c>
      <x:c r="C10" s="71" t="str">
        <x:v>N</x:v>
      </x:c>
      <x:c r="D10" s="71" t="str">
        <x:v>防空炮LV1</x:v>
      </x:c>
      <x:c r="E10" s="72" t="n">
        <x:v>901</x:v>
      </x:c>
      <x:c r="F10" s="72" t="n">
        <x:f>E10-E9</x:f>
        <x:v>400</x:v>
      </x:c>
      <x:c r="G10" s="72" t="n">
        <x:v>20</x:v>
      </x:c>
      <x:c r="H10" s="72" t="n">
        <x:v>1000</x:v>
      </x:c>
      <x:c r="I10" s="72" t="n">
        <x:v>1</x:v>
      </x:c>
      <x:c r="J10" s="72" t="n">
        <x:f>J9+G10</x:f>
        <x:v>20</x:v>
      </x:c>
      <x:c r="K10" s="72" t="n">
        <x:f>K9+H10</x:f>
        <x:v>1900</x:v>
      </x:c>
      <x:c r="L10" s="73" t="str">
        <x:v>防空炮Lv2：对同一空中目标射出4枚飞弹；对空+90%伤害</x:v>
      </x:c>
      <x:c r="M10" s="73" t="str">
        <x:v>防空路线</x:v>
      </x:c>
      <x:c r="N10" s="73" t="str">
        <x:v>N阶段转职；人口+1</x:v>
      </x:c>
      <x:c r="P10" s="214" t="str">
        <x:v>最终阶段</x:v>
      </x:c>
      <x:c r="Q10" s="214" t="str">
        <x:v>空域霸主</x:v>
      </x:c>
      <x:c r="R10" s="214" t="str">
        <x:v>实际技能</x:v>
      </x:c>
      <x:c r="S10" s="214" t="str">
        <x:v>Lv1</x:v>
      </x:c>
      <x:c r="T10" s="214" t="str">
        <x:v>半径500码范围的单位受到伤害提高20%，并且空中怪攻击速度减少20%</x:v>
      </x:c>
      <x:c r="U10" s="214" t="str">
        <x:v>空域霸主LV1至LV10保持不变</x:v>
      </x:c>
      <x:c r="V10" s="214" t="str">
        <x:v>录像直接确认</x:v>
      </x:c>
    </x:row>
    <x:row r="11">
      <x:c r="A11" s="71" t="n">
        <x:v>7</x:v>
      </x:c>
      <x:c r="B11" s="71" t="str">
        <x:v>防空炮</x:v>
      </x:c>
      <x:c r="C11" s="71" t="str">
        <x:v>N</x:v>
      </x:c>
      <x:c r="D11" s="71" t="str">
        <x:v>防空炮LV2</x:v>
      </x:c>
      <x:c r="E11" s="72" t="n">
        <x:v>1501</x:v>
      </x:c>
      <x:c r="F11" s="72" t="n">
        <x:f>E11-E10</x:f>
        <x:v>600</x:v>
      </x:c>
      <x:c r="G11" s="72" t="n">
        <x:v>50</x:v>
      </x:c>
      <x:c r="H11" s="72" t="n">
        <x:v>1500</x:v>
      </x:c>
      <x:c r="I11" s="72" t="n">
        <x:v>0</x:v>
      </x:c>
      <x:c r="J11" s="72" t="n">
        <x:f>J10+G11</x:f>
        <x:v>70</x:v>
      </x:c>
      <x:c r="K11" s="72" t="n">
        <x:f>K10+H11</x:f>
        <x:v>3400</x:v>
      </x:c>
      <x:c r="L11" s="73" t="str">
        <x:v>防空炮Lv3：对同一空中目标射出5枚飞弹；对空+90%伤害</x:v>
      </x:c>
      <x:c r="M11" s="73" t="str">
        <x:v>防空路线</x:v>
      </x:c>
      <x:c r="N11" s="73" t="str"/>
    </x:row>
    <x:row r="12">
      <x:c r="A12" s="71" t="n">
        <x:v>8</x:v>
      </x:c>
      <x:c r="B12" s="71" t="str">
        <x:v>防空炮</x:v>
      </x:c>
      <x:c r="C12" s="71" t="str">
        <x:v>N</x:v>
      </x:c>
      <x:c r="D12" s="71" t="str">
        <x:v>防空炮LV3</x:v>
      </x:c>
      <x:c r="E12" s="72" t="n">
        <x:v>2101</x:v>
      </x:c>
      <x:c r="F12" s="72" t="n">
        <x:f>E12-E11</x:f>
        <x:v>600</x:v>
      </x:c>
      <x:c r="G12" s="72" t="n">
        <x:v>200</x:v>
      </x:c>
      <x:c r="H12" s="72" t="n">
        <x:v>2000</x:v>
      </x:c>
      <x:c r="I12" s="72" t="n">
        <x:v>0</x:v>
      </x:c>
      <x:c r="J12" s="72" t="n">
        <x:f>J11+G12</x:f>
        <x:v>270</x:v>
      </x:c>
      <x:c r="K12" s="72" t="n">
        <x:f>K11+H12</x:f>
        <x:v>5400</x:v>
      </x:c>
      <x:c r="L12" s="73" t="str">
        <x:v>防空炮Lv4：对同一空中目标射出6枚飞弹；对空+90%伤害</x:v>
      </x:c>
      <x:c r="M12" s="73" t="str">
        <x:v>防空路线</x:v>
      </x:c>
      <x:c r="N12" s="73" t="str"/>
    </x:row>
    <x:row r="13">
      <x:c r="A13" s="71" t="n">
        <x:v>9</x:v>
      </x:c>
      <x:c r="B13" s="71" t="str">
        <x:v>防空炮</x:v>
      </x:c>
      <x:c r="C13" s="71" t="str">
        <x:v>N</x:v>
      </x:c>
      <x:c r="D13" s="71" t="str">
        <x:v>防空炮LV4</x:v>
      </x:c>
      <x:c r="E13" s="72" t="n">
        <x:v>3901</x:v>
      </x:c>
      <x:c r="F13" s="72" t="n">
        <x:f>E13-E12</x:f>
        <x:v>1800</x:v>
      </x:c>
      <x:c r="G13" s="72" t="n">
        <x:v>500</x:v>
      </x:c>
      <x:c r="H13" s="72" t="n">
        <x:v>2500</x:v>
      </x:c>
      <x:c r="I13" s="72" t="n">
        <x:v>0</x:v>
      </x:c>
      <x:c r="J13" s="72" t="n">
        <x:f>J12+G13</x:f>
        <x:v>770</x:v>
      </x:c>
      <x:c r="K13" s="72" t="n">
        <x:f>K12+H13</x:f>
        <x:v>7900</x:v>
      </x:c>
      <x:c r="L13" s="73" t="str">
        <x:v>防空炮Lv5：对同一空中目标射出7枚飞弹；对空+90%伤害</x:v>
      </x:c>
      <x:c r="M13" s="73" t="str">
        <x:v>防空路线</x:v>
      </x:c>
      <x:c r="N13" s="73" t="str"/>
    </x:row>
    <x:row r="14">
      <x:c r="A14" s="71" t="n">
        <x:v>10</x:v>
      </x:c>
      <x:c r="B14" s="71" t="str">
        <x:v>防空炮</x:v>
      </x:c>
      <x:c r="C14" s="71" t="str">
        <x:v>N</x:v>
      </x:c>
      <x:c r="D14" s="71" t="str">
        <x:v>防空炮LV5</x:v>
      </x:c>
      <x:c r="E14" s="72" t="n">
        <x:v>6101</x:v>
      </x:c>
      <x:c r="F14" s="72" t="n">
        <x:f>E14-E13</x:f>
        <x:v>2200</x:v>
      </x:c>
      <x:c r="G14" s="72" t="n">
        <x:v>1000</x:v>
      </x:c>
      <x:c r="H14" s="72" t="n">
        <x:v>3000</x:v>
      </x:c>
      <x:c r="I14" s="72" t="n">
        <x:v>0</x:v>
      </x:c>
      <x:c r="J14" s="72" t="n">
        <x:f>J13+G14</x:f>
        <x:v>1770</x:v>
      </x:c>
      <x:c r="K14" s="72" t="n">
        <x:f>K13+H14</x:f>
        <x:v>10900</x:v>
      </x:c>
      <x:c r="L14" s="73" t="str">
        <x:v>防空炮Lv5：对同一空中目标射出7枚飞弹；对空+90%伤害</x:v>
      </x:c>
      <x:c r="M14" s="73" t="str">
        <x:v>防空路线</x:v>
      </x:c>
      <x:c r="N14" s="73" t="str"/>
    </x:row>
    <x:row r="15">
      <x:c r="A15" s="77" t="n">
        <x:v>11</x:v>
      </x:c>
      <x:c r="B15" s="77" t="str">
        <x:v>防空火炮</x:v>
      </x:c>
      <x:c r="C15" s="77" t="str">
        <x:v>R</x:v>
      </x:c>
      <x:c r="D15" s="77" t="str">
        <x:v>防空火炮LV1</x:v>
      </x:c>
      <x:c r="E15" s="78" t="n">
        <x:v>12101</x:v>
      </x:c>
      <x:c r="F15" s="78" t="n">
        <x:f>E15-E14</x:f>
        <x:v>6000</x:v>
      </x:c>
      <x:c r="G15" s="78" t="n">
        <x:v>1000</x:v>
      </x:c>
      <x:c r="H15" s="78" t="n">
        <x:v>20000</x:v>
      </x:c>
      <x:c r="I15" s="78" t="n">
        <x:v>1</x:v>
      </x:c>
      <x:c r="J15" s="78" t="n">
        <x:f>J14+G15</x:f>
        <x:v>2770</x:v>
      </x:c>
      <x:c r="K15" s="78" t="n">
        <x:f>K14+H15</x:f>
        <x:v>30900</x:v>
      </x:c>
      <x:c r="L15" s="79" t="str">
        <x:v>防空炮Lv5：7枚飞弹/对空+90%
防空火炮Lv2：10%几率发射拖拽网拉入地面</x:v>
      </x:c>
      <x:c r="M15" s="79" t="str">
        <x:v>防空路线</x:v>
      </x:c>
      <x:c r="N15" s="79" t="str">
        <x:v>R阶段转职；人口+1</x:v>
      </x:c>
    </x:row>
    <x:row r="16">
      <x:c r="A16" s="77" t="n">
        <x:v>12</x:v>
      </x:c>
      <x:c r="B16" s="77" t="str">
        <x:v>防空火炮</x:v>
      </x:c>
      <x:c r="C16" s="77" t="str">
        <x:v>R</x:v>
      </x:c>
      <x:c r="D16" s="77" t="str">
        <x:v>防空火炮LV2</x:v>
      </x:c>
      <x:c r="E16" s="78" t="n">
        <x:v>35101</x:v>
      </x:c>
      <x:c r="F16" s="78" t="n">
        <x:f>E16-E15</x:f>
        <x:v>23000</x:v>
      </x:c>
      <x:c r="G16" s="78" t="n">
        <x:v>2000</x:v>
      </x:c>
      <x:c r="H16" s="78" t="n">
        <x:v>40000</x:v>
      </x:c>
      <x:c r="I16" s="78" t="n">
        <x:v>0</x:v>
      </x:c>
      <x:c r="J16" s="78" t="n">
        <x:f>J15+G16</x:f>
        <x:v>4770</x:v>
      </x:c>
      <x:c r="K16" s="78" t="n">
        <x:f>K15+H16</x:f>
        <x:v>70900</x:v>
      </x:c>
      <x:c r="L16" s="79" t="str">
        <x:v>防空炮Lv5：7枚飞弹/对空+90%
防空火炮Lv3：12%几率发射拖拽网拉入地面</x:v>
      </x:c>
      <x:c r="M16" s="79" t="str">
        <x:v>防空路线</x:v>
      </x:c>
      <x:c r="N16" s="79" t="str"/>
    </x:row>
    <x:row r="17">
      <x:c r="A17" s="77" t="n">
        <x:v>13</x:v>
      </x:c>
      <x:c r="B17" s="77" t="str">
        <x:v>防空火炮</x:v>
      </x:c>
      <x:c r="C17" s="77" t="str">
        <x:v>R</x:v>
      </x:c>
      <x:c r="D17" s="77" t="str">
        <x:v>防空火炮LV3</x:v>
      </x:c>
      <x:c r="E17" s="78" t="n">
        <x:v>50101</x:v>
      </x:c>
      <x:c r="F17" s="78" t="n">
        <x:f>E17-E16</x:f>
        <x:v>15000</x:v>
      </x:c>
      <x:c r="G17" s="78" t="n">
        <x:v>5000</x:v>
      </x:c>
      <x:c r="H17" s="78" t="n">
        <x:v>60000</x:v>
      </x:c>
      <x:c r="I17" s="78" t="n">
        <x:v>0</x:v>
      </x:c>
      <x:c r="J17" s="78" t="n">
        <x:f>J16+G17</x:f>
        <x:v>9770</x:v>
      </x:c>
      <x:c r="K17" s="78" t="n">
        <x:f>K16+H17</x:f>
        <x:v>130900</x:v>
      </x:c>
      <x:c r="L17" s="79" t="str">
        <x:v>防空炮Lv5：7枚飞弹/对空+90%
防空火炮Lv4：14%几率发射拖拽网拉入地面</x:v>
      </x:c>
      <x:c r="M17" s="79" t="str">
        <x:v>防空路线</x:v>
      </x:c>
      <x:c r="N17" s="79" t="str"/>
    </x:row>
    <x:row r="18">
      <x:c r="A18" s="77" t="n">
        <x:v>14</x:v>
      </x:c>
      <x:c r="B18" s="77" t="str">
        <x:v>防空火炮</x:v>
      </x:c>
      <x:c r="C18" s="77" t="str">
        <x:v>R</x:v>
      </x:c>
      <x:c r="D18" s="77" t="str">
        <x:v>防空火炮LV4</x:v>
      </x:c>
      <x:c r="E18" s="78" t="n">
        <x:v>75101</x:v>
      </x:c>
      <x:c r="F18" s="78" t="n">
        <x:f>E18-E17</x:f>
        <x:v>25000</x:v>
      </x:c>
      <x:c r="G18" s="78" t="n">
        <x:v>10000</x:v>
      </x:c>
      <x:c r="H18" s="78" t="n">
        <x:v>100000</x:v>
      </x:c>
      <x:c r="I18" s="78" t="n">
        <x:v>0</x:v>
      </x:c>
      <x:c r="J18" s="78" t="n">
        <x:f>J17+G18</x:f>
        <x:v>19770</x:v>
      </x:c>
      <x:c r="K18" s="78" t="n">
        <x:f>K17+H18</x:f>
        <x:v>230900</x:v>
      </x:c>
      <x:c r="L18" s="79" t="str">
        <x:v>防空炮Lv5：7枚飞弹/对空+90%
防空火炮Lv5：16%几率发射拖拽网拉入地面</x:v>
      </x:c>
      <x:c r="M18" s="79" t="str">
        <x:v>防空路线</x:v>
      </x:c>
      <x:c r="N18" s="79" t="str"/>
    </x:row>
    <x:row r="19">
      <x:c r="A19" s="77" t="n">
        <x:v>15</x:v>
      </x:c>
      <x:c r="B19" s="77" t="str">
        <x:v>防空火炮</x:v>
      </x:c>
      <x:c r="C19" s="77" t="str">
        <x:v>R</x:v>
      </x:c>
      <x:c r="D19" s="77" t="str">
        <x:v>防空火炮LV5</x:v>
      </x:c>
      <x:c r="E19" s="78" t="n">
        <x:v>108101</x:v>
      </x:c>
      <x:c r="F19" s="78" t="n">
        <x:f>E19-E18</x:f>
        <x:v>33000</x:v>
      </x:c>
      <x:c r="G19" s="78" t="n">
        <x:v>20000</x:v>
      </x:c>
      <x:c r="H19" s="78" t="n">
        <x:v>100000</x:v>
      </x:c>
      <x:c r="I19" s="78" t="n">
        <x:v>0</x:v>
      </x:c>
      <x:c r="J19" s="78" t="n">
        <x:f>J18+G19</x:f>
        <x:v>39770</x:v>
      </x:c>
      <x:c r="K19" s="78" t="n">
        <x:f>K18+H19</x:f>
        <x:v>330900</x:v>
      </x:c>
      <x:c r="L19" s="79" t="str">
        <x:v>防空炮Lv5：7枚飞弹/对空+90%
防空火炮Lv5：16%几率发射拖拽网拉入地面</x:v>
      </x:c>
      <x:c r="M19" s="79" t="str">
        <x:v>防空路线</x:v>
      </x:c>
      <x:c r="N19" s="79" t="str"/>
    </x:row>
    <x:row r="20">
      <x:c r="A20" s="83" t="n">
        <x:v>16</x:v>
      </x:c>
      <x:c r="B20" s="83" t="str">
        <x:v>空域霸主</x:v>
      </x:c>
      <x:c r="C20" s="83" t="str">
        <x:v>SR</x:v>
      </x:c>
      <x:c r="D20" s="83" t="str">
        <x:v>空域霸主LV1</x:v>
      </x:c>
      <x:c r="E20" s="84" t="n">
        <x:v>308101</x:v>
      </x:c>
      <x:c r="F20" s="84" t="n">
        <x:f>E20-E19</x:f>
        <x:v>200000</x:v>
      </x:c>
      <x:c r="G20" s="84" t="n">
        <x:v>30000</x:v>
      </x:c>
      <x:c r="H20" s="84" t="n">
        <x:v>200000</x:v>
      </x:c>
      <x:c r="I20" s="84" t="n">
        <x:v>2</x:v>
      </x:c>
      <x:c r="J20" s="84" t="n">
        <x:f>J19+G20</x:f>
        <x:v>69770</x:v>
      </x:c>
      <x:c r="K20" s="84" t="n">
        <x:f>K19+H20</x:f>
        <x:v>530900</x:v>
      </x:c>
      <x:c r="L20" s="85" t="str">
        <x:v>防空炮Lv5：对同一空中目标7枚飞弹，对空+90%伤害
防空火炮Lv5：16%几率发射拖拽网拉入地面
空域霸主Lv1：500码范围单位受到伤害+20%，空中怪攻击速度-20%</x:v>
      </x:c>
      <x:c r="M20" s="85" t="str">
        <x:v>防空路线</x:v>
      </x:c>
      <x:c r="N20" s="85" t="str">
        <x:v>SR阶段转职；人口+2</x:v>
      </x:c>
    </x:row>
    <x:row r="21">
      <x:c r="A21" s="83" t="n">
        <x:v>17</x:v>
      </x:c>
      <x:c r="B21" s="83" t="str">
        <x:v>空域霸主</x:v>
      </x:c>
      <x:c r="C21" s="83" t="str">
        <x:v>SR</x:v>
      </x:c>
      <x:c r="D21" s="83" t="str">
        <x:v>空域霸主LV2</x:v>
      </x:c>
      <x:c r="E21" s="84" t="n">
        <x:v>508101</x:v>
      </x:c>
      <x:c r="F21" s="84" t="n">
        <x:f>E21-E20</x:f>
        <x:v>200000</x:v>
      </x:c>
      <x:c r="G21" s="84" t="n">
        <x:v>60000</x:v>
      </x:c>
      <x:c r="H21" s="84" t="n">
        <x:v>200000</x:v>
      </x:c>
      <x:c r="I21" s="84" t="n">
        <x:v>0</x:v>
      </x:c>
      <x:c r="J21" s="84" t="n">
        <x:f>J20+G21</x:f>
        <x:v>129770</x:v>
      </x:c>
      <x:c r="K21" s="84" t="n">
        <x:f>K20+H21</x:f>
        <x:v>730900</x:v>
      </x:c>
      <x:c r="L21" s="85" t="str">
        <x:v>防空炮Lv5：对同一空中目标7枚飞弹，对空+90%伤害
防空火炮Lv5：16%几率发射拖拽网拉入地面
空域霸主Lv1：500码范围单位受到伤害+20%，空中怪攻击速度-20%</x:v>
      </x:c>
      <x:c r="M21" s="85" t="str">
        <x:v>防空路线</x:v>
      </x:c>
      <x:c r="N21" s="85" t="str"/>
    </x:row>
    <x:row r="22">
      <x:c r="A22" s="83" t="n">
        <x:v>18</x:v>
      </x:c>
      <x:c r="B22" s="83" t="str">
        <x:v>空域霸主</x:v>
      </x:c>
      <x:c r="C22" s="83" t="str">
        <x:v>SR</x:v>
      </x:c>
      <x:c r="D22" s="83" t="str">
        <x:v>空域霸主LV3</x:v>
      </x:c>
      <x:c r="E22" s="84" t="n">
        <x:v>808101</x:v>
      </x:c>
      <x:c r="F22" s="84" t="n">
        <x:f>E22-E21</x:f>
        <x:v>300000</x:v>
      </x:c>
      <x:c r="G22" s="84" t="n">
        <x:v>90000</x:v>
      </x:c>
      <x:c r="H22" s="84" t="n">
        <x:v>200000</x:v>
      </x:c>
      <x:c r="I22" s="84" t="n">
        <x:v>0</x:v>
      </x:c>
      <x:c r="J22" s="84" t="n">
        <x:f>J21+G22</x:f>
        <x:v>219770</x:v>
      </x:c>
      <x:c r="K22" s="84" t="n">
        <x:f>K21+H22</x:f>
        <x:v>930900</x:v>
      </x:c>
      <x:c r="L22" s="85" t="str">
        <x:v>防空炮Lv5：对同一空中目标7枚飞弹，对空+90%伤害
防空火炮Lv5：16%几率发射拖拽网拉入地面
空域霸主Lv1：500码范围单位受到伤害+20%，空中怪攻击速度-20%</x:v>
      </x:c>
      <x:c r="M22" s="85" t="str">
        <x:v>防空路线</x:v>
      </x:c>
      <x:c r="N22" s="85" t="str"/>
    </x:row>
    <x:row r="23">
      <x:c r="A23" s="83" t="n">
        <x:v>19</x:v>
      </x:c>
      <x:c r="B23" s="83" t="str">
        <x:v>空域霸主</x:v>
      </x:c>
      <x:c r="C23" s="83" t="str">
        <x:v>SR</x:v>
      </x:c>
      <x:c r="D23" s="83" t="str">
        <x:v>空域霸主LV4</x:v>
      </x:c>
      <x:c r="E23" s="84" t="n">
        <x:v>1008101</x:v>
      </x:c>
      <x:c r="F23" s="84" t="n">
        <x:f>E23-E22</x:f>
        <x:v>200000</x:v>
      </x:c>
      <x:c r="G23" s="84" t="n">
        <x:v>120000</x:v>
      </x:c>
      <x:c r="H23" s="84" t="n">
        <x:v>200000</x:v>
      </x:c>
      <x:c r="I23" s="84" t="n">
        <x:v>0</x:v>
      </x:c>
      <x:c r="J23" s="84" t="n">
        <x:f>J22+G23</x:f>
        <x:v>339770</x:v>
      </x:c>
      <x:c r="K23" s="84" t="n">
        <x:f>K22+H23</x:f>
        <x:v>1130900</x:v>
      </x:c>
      <x:c r="L23" s="85" t="str">
        <x:v>防空炮Lv5：对同一空中目标7枚飞弹，对空+90%伤害
防空火炮Lv5：16%几率发射拖拽网拉入地面
空域霸主Lv1：500码范围单位受到伤害+20%，空中怪攻击速度-20%</x:v>
      </x:c>
      <x:c r="M23" s="85" t="str">
        <x:v>防空路线</x:v>
      </x:c>
      <x:c r="N23" s="85" t="str"/>
    </x:row>
    <x:row r="24">
      <x:c r="A24" s="83" t="n">
        <x:v>20</x:v>
      </x:c>
      <x:c r="B24" s="83" t="str">
        <x:v>空域霸主</x:v>
      </x:c>
      <x:c r="C24" s="83" t="str">
        <x:v>SR</x:v>
      </x:c>
      <x:c r="D24" s="83" t="str">
        <x:v>空域霸主LV5</x:v>
      </x:c>
      <x:c r="E24" s="84" t="n">
        <x:v>1508101</x:v>
      </x:c>
      <x:c r="F24" s="84" t="n">
        <x:f>E24-E23</x:f>
        <x:v>500000</x:v>
      </x:c>
      <x:c r="G24" s="84" t="n">
        <x:v>150000</x:v>
      </x:c>
      <x:c r="H24" s="84" t="n">
        <x:v>200000</x:v>
      </x:c>
      <x:c r="I24" s="84" t="n">
        <x:v>0</x:v>
      </x:c>
      <x:c r="J24" s="84" t="n">
        <x:f>J23+G24</x:f>
        <x:v>489770</x:v>
      </x:c>
      <x:c r="K24" s="84" t="n">
        <x:f>K23+H24</x:f>
        <x:v>1330900</x:v>
      </x:c>
      <x:c r="L24" s="85" t="str">
        <x:v>防空炮Lv5：对同一空中目标7枚飞弹，对空+90%伤害
防空火炮Lv5：16%几率发射拖拽网拉入地面
空域霸主Lv1：500码范围单位受到伤害+20%，空中怪攻击速度-20%</x:v>
      </x:c>
      <x:c r="M24" s="85" t="str">
        <x:v>防空路线</x:v>
      </x:c>
      <x:c r="N24" s="85" t="str"/>
    </x:row>
    <x:row r="25">
      <x:c r="A25" s="83" t="n">
        <x:v>21</x:v>
      </x:c>
      <x:c r="B25" s="83" t="str">
        <x:v>空域霸主</x:v>
      </x:c>
      <x:c r="C25" s="83" t="str">
        <x:v>SSR</x:v>
      </x:c>
      <x:c r="D25" s="83" t="str">
        <x:v>空域霸主LV6</x:v>
      </x:c>
      <x:c r="E25" s="84" t="n">
        <x:v>2008101</x:v>
      </x:c>
      <x:c r="F25" s="84" t="n">
        <x:f>E25-E24</x:f>
        <x:v>500000</x:v>
      </x:c>
      <x:c r="G25" s="84" t="n">
        <x:v>200000</x:v>
      </x:c>
      <x:c r="H25" s="84" t="n">
        <x:v>400000</x:v>
      </x:c>
      <x:c r="I25" s="84" t="n">
        <x:v>0</x:v>
      </x:c>
      <x:c r="J25" s="84" t="n">
        <x:f>J24+G25</x:f>
        <x:v>689770</x:v>
      </x:c>
      <x:c r="K25" s="84" t="n">
        <x:f>K24+H25</x:f>
        <x:v>1730900</x:v>
      </x:c>
      <x:c r="L25" s="85" t="str">
        <x:v>防空炮Lv5：对同一空中目标7枚飞弹，对空+90%伤害
防空火炮Lv5：16%几率发射拖拽网拉入地面
空域霸主Lv1：500码范围单位受到伤害+20%，空中怪攻击速度-20%</x:v>
      </x:c>
      <x:c r="M25" s="85" t="str">
        <x:v>防空路线</x:v>
      </x:c>
      <x:c r="N25" s="85" t="str">
        <x:v>最终塔LV6开始稀有度前缀变为SSR</x:v>
      </x:c>
    </x:row>
    <x:row r="26">
      <x:c r="A26" s="83" t="n">
        <x:v>22</x:v>
      </x:c>
      <x:c r="B26" s="83" t="str">
        <x:v>空域霸主</x:v>
      </x:c>
      <x:c r="C26" s="83" t="str">
        <x:v>SSR</x:v>
      </x:c>
      <x:c r="D26" s="83" t="str">
        <x:v>空域霸主LV7</x:v>
      </x:c>
      <x:c r="E26" s="84" t="n">
        <x:v>3008101</x:v>
      </x:c>
      <x:c r="F26" s="84" t="n">
        <x:f>E26-E25</x:f>
        <x:v>1000000</x:v>
      </x:c>
      <x:c r="G26" s="84" t="n">
        <x:v>250000</x:v>
      </x:c>
      <x:c r="H26" s="84" t="n">
        <x:v>500000</x:v>
      </x:c>
      <x:c r="I26" s="84" t="n">
        <x:v>0</x:v>
      </x:c>
      <x:c r="J26" s="84" t="n">
        <x:f>J25+G26</x:f>
        <x:v>939770</x:v>
      </x:c>
      <x:c r="K26" s="84" t="n">
        <x:f>K25+H26</x:f>
        <x:v>2230900</x:v>
      </x:c>
      <x:c r="L26" s="85" t="str">
        <x:v>防空炮Lv5：对同一空中目标7枚飞弹，对空+90%伤害
防空火炮Lv5：16%几率发射拖拽网拉入地面
空域霸主Lv1：500码范围单位受到伤害+20%，空中怪攻击速度-20%</x:v>
      </x:c>
      <x:c r="M26" s="85" t="str">
        <x:v>防空路线</x:v>
      </x:c>
      <x:c r="N26" s="85" t="str"/>
    </x:row>
    <x:row r="27">
      <x:c r="A27" s="83" t="n">
        <x:v>23</x:v>
      </x:c>
      <x:c r="B27" s="83" t="str">
        <x:v>空域霸主</x:v>
      </x:c>
      <x:c r="C27" s="83" t="str">
        <x:v>SSR</x:v>
      </x:c>
      <x:c r="D27" s="83" t="str">
        <x:v>空域霸主LV8</x:v>
      </x:c>
      <x:c r="E27" s="84" t="n">
        <x:v>4008101</x:v>
      </x:c>
      <x:c r="F27" s="84" t="n">
        <x:f>E27-E26</x:f>
        <x:v>1000000</x:v>
      </x:c>
      <x:c r="G27" s="84" t="n">
        <x:v>300000</x:v>
      </x:c>
      <x:c r="H27" s="84" t="n">
        <x:v>600000</x:v>
      </x:c>
      <x:c r="I27" s="84" t="n">
        <x:v>0</x:v>
      </x:c>
      <x:c r="J27" s="84" t="n">
        <x:f>J26+G27</x:f>
        <x:v>1239770</x:v>
      </x:c>
      <x:c r="K27" s="84" t="n">
        <x:f>K26+H27</x:f>
        <x:v>2830900</x:v>
      </x:c>
      <x:c r="L27" s="85" t="str">
        <x:v>防空炮Lv5：对同一空中目标7枚飞弹，对空+90%伤害
防空火炮Lv5：16%几率发射拖拽网拉入地面
空域霸主Lv1：500码范围单位受到伤害+20%，空中怪攻击速度-20%</x:v>
      </x:c>
      <x:c r="M27" s="85" t="str">
        <x:v>防空路线</x:v>
      </x:c>
      <x:c r="N27" s="85" t="str"/>
    </x:row>
    <x:row r="28">
      <x:c r="A28" s="83" t="n">
        <x:v>24</x:v>
      </x:c>
      <x:c r="B28" s="83" t="str">
        <x:v>空域霸主</x:v>
      </x:c>
      <x:c r="C28" s="83" t="str">
        <x:v>SSR</x:v>
      </x:c>
      <x:c r="D28" s="83" t="str">
        <x:v>空域霸主LV9</x:v>
      </x:c>
      <x:c r="E28" s="84" t="n">
        <x:v>5008101</x:v>
      </x:c>
      <x:c r="F28" s="84" t="n">
        <x:f>E28-E27</x:f>
        <x:v>1000000</x:v>
      </x:c>
      <x:c r="G28" s="84" t="n">
        <x:v>350000</x:v>
      </x:c>
      <x:c r="H28" s="84" t="n">
        <x:v>700000</x:v>
      </x:c>
      <x:c r="I28" s="84" t="n">
        <x:v>0</x:v>
      </x:c>
      <x:c r="J28" s="84" t="n">
        <x:f>J27+G28</x:f>
        <x:v>1589770</x:v>
      </x:c>
      <x:c r="K28" s="84" t="n">
        <x:f>K27+H28</x:f>
        <x:v>3530900</x:v>
      </x:c>
      <x:c r="L28" s="85" t="str">
        <x:v>防空炮Lv5：对同一空中目标7枚飞弹，对空+90%伤害
防空火炮Lv5：16%几率发射拖拽网拉入地面
空域霸主Lv1：500码范围单位受到伤害+20%，空中怪攻击速度-20%</x:v>
      </x:c>
      <x:c r="M28" s="85" t="str">
        <x:v>防空路线</x:v>
      </x:c>
      <x:c r="N28" s="85" t="str"/>
    </x:row>
    <x:row r="29">
      <x:c r="A29" s="83" t="n">
        <x:v>25</x:v>
      </x:c>
      <x:c r="B29" s="83" t="str">
        <x:v>空域霸主</x:v>
      </x:c>
      <x:c r="C29" s="83" t="str">
        <x:v>SSR</x:v>
      </x:c>
      <x:c r="D29" s="83" t="str">
        <x:v>空域霸主LV10</x:v>
      </x:c>
      <x:c r="E29" s="84" t="n">
        <x:v>6008101</x:v>
      </x:c>
      <x:c r="F29" s="84" t="n">
        <x:f>E29-E28</x:f>
        <x:v>1000000</x:v>
      </x:c>
      <x:c r="G29" s="84" t="n">
        <x:v>400000</x:v>
      </x:c>
      <x:c r="H29" s="84" t="n">
        <x:v>800000</x:v>
      </x:c>
      <x:c r="I29" s="84" t="n">
        <x:v>0</x:v>
      </x:c>
      <x:c r="J29" s="84" t="n">
        <x:f>J28+G29</x:f>
        <x:v>1989770</x:v>
      </x:c>
      <x:c r="K29" s="84" t="n">
        <x:f>K28+H29</x:f>
        <x:v>4330900</x:v>
      </x:c>
      <x:c r="L29" s="85" t="str">
        <x:v>防空炮Lv5：对同一空中目标7枚飞弹，对空+90%伤害
防空火炮Lv5：16%几率发射拖拽网拉入地面
空域霸主Lv1：500码范围单位受到伤害+20%，空中怪攻击速度-20%</x:v>
      </x:c>
      <x:c r="M29" s="85" t="str">
        <x:v>防空路线</x:v>
      </x:c>
      <x:c r="N29" s="85" t="str"/>
    </x:row>
    <x:row r="31" ht="32" customHeight="1">
      <x:c r="A31" s="93" t="str">
        <x:v>本路线累计成本（箭塔1-1 → 最终塔LV10）</x:v>
      </x:c>
      <x:c r="B31" s="93"/>
      <x:c r="C31" s="93"/>
      <x:c r="D31" s="93"/>
      <x:c r="E31" s="93"/>
      <x:c r="F31" s="93"/>
      <x:c r="G31" s="99" t="n">
        <x:f>SUM(G5:G29)</x:f>
        <x:v>1989770</x:v>
      </x:c>
      <x:c r="H31" s="99" t="n">
        <x:f>SUM(H5:H29)</x:f>
        <x:v>4330900</x:v>
      </x:c>
      <x:c r="I31" s="99" t="n">
        <x:f>SUM(I5:I29)</x:f>
        <x:v>4</x:v>
      </x:c>
      <x:c r="J31" s="93" t="str">
        <x:v>不含主城、前置建筑、工人和其他成长路线成本</x:v>
      </x:c>
      <x:c r="K31" s="93"/>
      <x:c r="L31" s="93"/>
      <x:c r="M31" s="93"/>
      <x:c r="N31" s="93"/>
    </x:row>
    <x:row r="34" ht="28" customHeight="1">
      <x:c r="A34" s="197"/>
      <x:c r="B34" s="197"/>
      <x:c r="C34" s="197"/>
      <x:c r="D34" s="197"/>
      <x:c r="E34" s="197"/>
      <x:c r="F34" s="197"/>
      <x:c r="G34" s="197"/>
    </x:row>
    <x:row r="35">
      <x:c r="A35" s="111"/>
      <x:c r="B35" s="111"/>
      <x:c r="C35" s="111"/>
      <x:c r="D35" s="111"/>
      <x:c r="E35" s="111"/>
      <x:c r="F35" s="111"/>
      <x:c r="G35" s="111"/>
    </x:row>
    <x:row r="36">
      <x:c r="A36" s="31"/>
      <x:c r="B36" s="31"/>
      <x:c r="C36" s="31"/>
      <x:c r="D36" s="31"/>
      <x:c r="E36" s="31"/>
      <x:c r="F36" s="31"/>
      <x:c r="G36" s="31"/>
    </x:row>
    <x:row r="37">
      <x:c r="A37" s="33"/>
      <x:c r="B37" s="33"/>
      <x:c r="C37" s="33"/>
      <x:c r="D37" s="33"/>
      <x:c r="E37" s="33"/>
      <x:c r="F37" s="33"/>
      <x:c r="G37" s="33"/>
    </x:row>
    <x:row r="38">
      <x:c r="A38" s="31"/>
      <x:c r="B38" s="31"/>
      <x:c r="C38" s="31"/>
      <x:c r="D38" s="31"/>
      <x:c r="E38" s="31"/>
      <x:c r="F38" s="31"/>
      <x:c r="G38" s="31"/>
    </x:row>
    <x:row r="39">
      <x:c r="A39" s="33"/>
      <x:c r="B39" s="33"/>
      <x:c r="C39" s="33"/>
      <x:c r="D39" s="33"/>
      <x:c r="E39" s="33"/>
      <x:c r="F39" s="33"/>
      <x:c r="G39" s="33"/>
    </x:row>
    <x:row r="40">
      <x:c r="A40" s="31"/>
      <x:c r="B40" s="31"/>
      <x:c r="C40" s="31"/>
      <x:c r="D40" s="31"/>
      <x:c r="E40" s="31"/>
      <x:c r="F40" s="31"/>
      <x:c r="G40" s="31"/>
    </x:row>
  </x:sheetData>
  <x:mergeCells>
    <x:mergeCell ref="A1:N1"/>
    <x:mergeCell ref="A2:N2"/>
    <x:mergeCell ref="A31:F31"/>
    <x:mergeCell ref="J31:N31"/>
    <x:mergeCell ref="A34:G34"/>
    <x:mergeCell ref="P4:V4"/>
  </x:mergeCells>
  <x:pageMargins left="0.7" right="0.7" top="0.75" bottom="0.75" header="0.3" footer="0.3"/>
</x:worksheet>
</file>